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gmpind-my.sharepoint.com/personal/sheila_gmpind_onmicrosoft_com/Documents/BACKUP PC ANTIGO/VEICULOS/"/>
    </mc:Choice>
  </mc:AlternateContent>
  <xr:revisionPtr revIDLastSave="0" documentId="8_{439D2862-0E53-44A7-B9FB-50B4E850599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ainel" sheetId="1" r:id="rId1"/>
    <sheet name="Cadastro Frota" sheetId="2" r:id="rId2"/>
    <sheet name="Viagens e KM" sheetId="3" r:id="rId3"/>
    <sheet name="Checklist" sheetId="4" r:id="rId4"/>
    <sheet name="Abastecimentos" sheetId="5" r:id="rId5"/>
    <sheet name="Manutenções" sheetId="6" r:id="rId6"/>
    <sheet name="Documentos" sheetId="7" r:id="rId7"/>
    <sheet name="Instruçõ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1" i="7" l="1"/>
  <c r="D101" i="7"/>
  <c r="E100" i="7"/>
  <c r="D100" i="7"/>
  <c r="E99" i="7"/>
  <c r="D99" i="7"/>
  <c r="E98" i="7"/>
  <c r="D98" i="7"/>
  <c r="E97" i="7"/>
  <c r="D97" i="7"/>
  <c r="E96" i="7"/>
  <c r="D96" i="7"/>
  <c r="E95" i="7"/>
  <c r="D95" i="7"/>
  <c r="E94" i="7"/>
  <c r="D94" i="7"/>
  <c r="E93" i="7"/>
  <c r="D93" i="7"/>
  <c r="E92" i="7"/>
  <c r="D92" i="7"/>
  <c r="E91" i="7"/>
  <c r="D91" i="7"/>
  <c r="E90" i="7"/>
  <c r="D90" i="7"/>
  <c r="E89" i="7"/>
  <c r="D89" i="7"/>
  <c r="E88" i="7"/>
  <c r="D88" i="7"/>
  <c r="E87" i="7"/>
  <c r="D87" i="7"/>
  <c r="E86" i="7"/>
  <c r="D86" i="7"/>
  <c r="E85" i="7"/>
  <c r="D85" i="7"/>
  <c r="E84" i="7"/>
  <c r="D84" i="7"/>
  <c r="E83" i="7"/>
  <c r="D83" i="7"/>
  <c r="E82" i="7"/>
  <c r="D82" i="7"/>
  <c r="E81" i="7"/>
  <c r="D81" i="7"/>
  <c r="E80" i="7"/>
  <c r="D80" i="7"/>
  <c r="E79" i="7"/>
  <c r="D79" i="7"/>
  <c r="E78" i="7"/>
  <c r="D78" i="7"/>
  <c r="E77" i="7"/>
  <c r="D77" i="7"/>
  <c r="E76" i="7"/>
  <c r="D76" i="7"/>
  <c r="E75" i="7"/>
  <c r="D75" i="7"/>
  <c r="E74" i="7"/>
  <c r="D74" i="7"/>
  <c r="E73" i="7"/>
  <c r="D73" i="7"/>
  <c r="E72" i="7"/>
  <c r="D72" i="7"/>
  <c r="E71" i="7"/>
  <c r="D71" i="7"/>
  <c r="E70" i="7"/>
  <c r="D70" i="7"/>
  <c r="E69" i="7"/>
  <c r="D69" i="7"/>
  <c r="E68" i="7"/>
  <c r="D68" i="7"/>
  <c r="E67" i="7"/>
  <c r="D67" i="7"/>
  <c r="E66" i="7"/>
  <c r="D66" i="7"/>
  <c r="E65" i="7"/>
  <c r="D65" i="7"/>
  <c r="E64" i="7"/>
  <c r="D64" i="7"/>
  <c r="E63" i="7"/>
  <c r="D63" i="7"/>
  <c r="E62" i="7"/>
  <c r="D62" i="7"/>
  <c r="E61" i="7"/>
  <c r="D61" i="7"/>
  <c r="E60" i="7"/>
  <c r="D60" i="7"/>
  <c r="E59" i="7"/>
  <c r="D59" i="7"/>
  <c r="E58" i="7"/>
  <c r="D58" i="7"/>
  <c r="E57" i="7"/>
  <c r="D57" i="7"/>
  <c r="E56" i="7"/>
  <c r="D56" i="7"/>
  <c r="E55" i="7"/>
  <c r="D55" i="7"/>
  <c r="E54" i="7"/>
  <c r="D54" i="7"/>
  <c r="E53" i="7"/>
  <c r="D53" i="7"/>
  <c r="E52" i="7"/>
  <c r="D52" i="7"/>
  <c r="E51" i="7"/>
  <c r="D51" i="7"/>
  <c r="E50" i="7"/>
  <c r="D50" i="7"/>
  <c r="E49" i="7"/>
  <c r="D49" i="7"/>
  <c r="E48" i="7"/>
  <c r="D48" i="7"/>
  <c r="E47" i="7"/>
  <c r="D47" i="7"/>
  <c r="E46" i="7"/>
  <c r="D46" i="7"/>
  <c r="E45" i="7"/>
  <c r="D45" i="7"/>
  <c r="E44" i="7"/>
  <c r="D44" i="7"/>
  <c r="E43" i="7"/>
  <c r="D43" i="7"/>
  <c r="E42" i="7"/>
  <c r="D42" i="7"/>
  <c r="E41" i="7"/>
  <c r="D41" i="7"/>
  <c r="E40" i="7"/>
  <c r="D40" i="7"/>
  <c r="E39" i="7"/>
  <c r="D39" i="7"/>
  <c r="E38" i="7"/>
  <c r="D38" i="7"/>
  <c r="E37" i="7"/>
  <c r="D37" i="7"/>
  <c r="E36" i="7"/>
  <c r="D36" i="7"/>
  <c r="E35" i="7"/>
  <c r="D35" i="7"/>
  <c r="E34" i="7"/>
  <c r="D34" i="7"/>
  <c r="E33" i="7"/>
  <c r="D33" i="7"/>
  <c r="E32" i="7"/>
  <c r="D32" i="7"/>
  <c r="E31" i="7"/>
  <c r="D31" i="7"/>
  <c r="E30" i="7"/>
  <c r="D30" i="7"/>
  <c r="E29" i="7"/>
  <c r="D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3" i="7"/>
  <c r="D3" i="7"/>
  <c r="E2" i="7"/>
  <c r="D2" i="7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D17" i="1"/>
  <c r="C17" i="1"/>
  <c r="B17" i="1"/>
  <c r="D16" i="1"/>
  <c r="C16" i="1"/>
  <c r="B16" i="1"/>
  <c r="D15" i="1"/>
  <c r="C15" i="1"/>
  <c r="B15" i="1"/>
  <c r="D14" i="1"/>
  <c r="C14" i="1"/>
  <c r="B14" i="1"/>
  <c r="B11" i="1"/>
  <c r="B10" i="1"/>
  <c r="B9" i="1"/>
  <c r="B8" i="1"/>
  <c r="B6" i="1"/>
  <c r="B5" i="1"/>
  <c r="B4" i="1"/>
  <c r="B7" i="1" s="1"/>
  <c r="B3" i="1"/>
  <c r="B2" i="1"/>
</calcChain>
</file>

<file path=xl/sharedStrings.xml><?xml version="1.0" encoding="utf-8"?>
<sst xmlns="http://schemas.openxmlformats.org/spreadsheetml/2006/main" count="117" uniqueCount="90">
  <si>
    <t>Indicador</t>
  </si>
  <si>
    <t>Valor</t>
  </si>
  <si>
    <t>Veículos cadastrados</t>
  </si>
  <si>
    <t>KM rodados registrados</t>
  </si>
  <si>
    <t>Total abastecimento (R$)</t>
  </si>
  <si>
    <t>Litros abastecidos</t>
  </si>
  <si>
    <t>Custo manutenção (R$)</t>
  </si>
  <si>
    <t>Custo total (R$)</t>
  </si>
  <si>
    <t>Checklists com pendência</t>
  </si>
  <si>
    <t>Documentos vencidos</t>
  </si>
  <si>
    <t>Documentos próximos (30 dias)</t>
  </si>
  <si>
    <t>Manutenções planejadas</t>
  </si>
  <si>
    <t>Veículo</t>
  </si>
  <si>
    <t>KM rodados</t>
  </si>
  <si>
    <t>Abastecimento R$</t>
  </si>
  <si>
    <t>Manutenção R$</t>
  </si>
  <si>
    <t>V01</t>
  </si>
  <si>
    <t>V02</t>
  </si>
  <si>
    <t>V03</t>
  </si>
  <si>
    <t>C01</t>
  </si>
  <si>
    <t>ID Veículo</t>
  </si>
  <si>
    <t>Tipo</t>
  </si>
  <si>
    <t>Modelo</t>
  </si>
  <si>
    <t>Placa</t>
  </si>
  <si>
    <t>Ano</t>
  </si>
  <si>
    <t>KM Atual</t>
  </si>
  <si>
    <t>Responsável</t>
  </si>
  <si>
    <t>Próxima Revisão KM</t>
  </si>
  <si>
    <t>Próxima Revisão Data</t>
  </si>
  <si>
    <t>Situação</t>
  </si>
  <si>
    <t>Leve</t>
  </si>
  <si>
    <t>Ativo</t>
  </si>
  <si>
    <t>Caminhão</t>
  </si>
  <si>
    <t>Data</t>
  </si>
  <si>
    <t>Condutor</t>
  </si>
  <si>
    <t>Finalidade</t>
  </si>
  <si>
    <t>Origem</t>
  </si>
  <si>
    <t>Destino</t>
  </si>
  <si>
    <t>Saída</t>
  </si>
  <si>
    <t>Retorno</t>
  </si>
  <si>
    <t>KM Inicial</t>
  </si>
  <si>
    <t>KM Final</t>
  </si>
  <si>
    <t>KM Percorrido</t>
  </si>
  <si>
    <t>Observações</t>
  </si>
  <si>
    <t>Pneus</t>
  </si>
  <si>
    <t>Óleo</t>
  </si>
  <si>
    <t>Água</t>
  </si>
  <si>
    <t>Freios</t>
  </si>
  <si>
    <t>Luzes</t>
  </si>
  <si>
    <t>Documentos</t>
  </si>
  <si>
    <t>Limpeza</t>
  </si>
  <si>
    <t>Avarias</t>
  </si>
  <si>
    <t>Status Geral</t>
  </si>
  <si>
    <t>KM</t>
  </si>
  <si>
    <t>Litros</t>
  </si>
  <si>
    <t>Valor Total R$</t>
  </si>
  <si>
    <t>Preço por Litro</t>
  </si>
  <si>
    <t>KM desde Abastec. Anterior</t>
  </si>
  <si>
    <t>Consumo km/L</t>
  </si>
  <si>
    <t>Posto</t>
  </si>
  <si>
    <t>Serviço</t>
  </si>
  <si>
    <t>Fornecedor</t>
  </si>
  <si>
    <t>KM Serviço</t>
  </si>
  <si>
    <t>Custo R$</t>
  </si>
  <si>
    <t>Status</t>
  </si>
  <si>
    <t>Documento</t>
  </si>
  <si>
    <t>Vencimento</t>
  </si>
  <si>
    <t>Dias até Vencer</t>
  </si>
  <si>
    <t>Tema</t>
  </si>
  <si>
    <t>Orientação</t>
  </si>
  <si>
    <t>Primeiros passos</t>
  </si>
  <si>
    <t>Preencha modelo, placa, KM atual e revisão dos quatro veículos na aba Cadastro Frota.</t>
  </si>
  <si>
    <t>Saídas e retornos</t>
  </si>
  <si>
    <t>Registre toda viagem, inclusive transporte de colaboradores. O KM percorrido é automático.</t>
  </si>
  <si>
    <t>Checklist</t>
  </si>
  <si>
    <t>Faça antes da utilização. Marque Conforme, Não conforme ou N/A em todos os itens.</t>
  </si>
  <si>
    <t>Ocorrências</t>
  </si>
  <si>
    <t>Registre avarias e comunique ao gestor. Não libere veículo inseguro.</t>
  </si>
  <si>
    <t>Abastecimento</t>
  </si>
  <si>
    <t>Lance data, KM, litros e custo de cada abastecimento.</t>
  </si>
  <si>
    <t>Manutenção</t>
  </si>
  <si>
    <t>Registre serviço, custo, KM e próxima revisão. Atualize cadastro da frota.</t>
  </si>
  <si>
    <t>Documentação</t>
  </si>
  <si>
    <t>Cadastre vencimentos de licenciamento, seguro e outros documentos relevantes.</t>
  </si>
  <si>
    <t>Responsabilidades</t>
  </si>
  <si>
    <t>Motorista centraliza controles; outros condutores preenchem suas viagens e informam falhas; gestor aprova despesas.</t>
  </si>
  <si>
    <t>Observação</t>
  </si>
  <si>
    <t>Painel mostra lançamentos, não representa histórico anterior ao início do controle.</t>
  </si>
  <si>
    <t>Capacidade</t>
  </si>
  <si>
    <t>Modelo com 100 linhas de lançamento por aba; amplie fórmulas ao ultrapassar esse limite.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</si>
</sst>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24F"/>
      </patternFill>
    </fill>
    <fill>
      <patternFill patternType="solid">
        <fgColor rgb="FF0D81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14" fontId="0" fillId="0" borderId="0" xfId="0" applyNumberFormat="1"/>
    <xf numFmtId="164" fontId="0" fillId="0" borderId="0" xfId="0" applyNumberFormat="1"/>
    <xf numFmtId="0" fontId="1" fillId="3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KM</c:v>
          </c:tx>
          <c:invertIfNegative val="1"/>
          <c:cat>
            <c:strRef>
              <c:f>Painel!$A$14:$A$17</c:f>
              <c:strCache>
                <c:ptCount val="4"/>
                <c:pt idx="0">
                  <c:v>V01</c:v>
                </c:pt>
                <c:pt idx="1">
                  <c:v>V02</c:v>
                </c:pt>
                <c:pt idx="2">
                  <c:v>V03</c:v>
                </c:pt>
                <c:pt idx="3">
                  <c:v>C01</c:v>
                </c:pt>
              </c:strCache>
            </c:strRef>
          </c:cat>
          <c:val>
            <c:numRef>
              <c:f>Painel!$B$14:$B$17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3-4B09-81BA-1ADB15445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13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workbookViewId="0">
      <pane ySplit="1" topLeftCell="A2" activePane="bottomLeft" state="frozen"/>
      <selection pane="bottomLeft" activeCell="A17" sqref="A17"/>
    </sheetView>
  </sheetViews>
  <sheetFormatPr defaultRowHeight="13.8"/>
  <cols>
    <col min="1" max="1" width="34" customWidth="1"/>
    <col min="2" max="4" width="21" customWidth="1"/>
  </cols>
  <sheetData>
    <row r="1" spans="1:4" ht="31.95" customHeight="1">
      <c r="A1" s="1" t="s">
        <v>0</v>
      </c>
      <c r="B1" s="1" t="s">
        <v>1</v>
      </c>
    </row>
    <row r="2" spans="1:4" ht="21" customHeight="1">
      <c r="A2" t="s">
        <v>2</v>
      </c>
      <c r="B2">
        <f>COUNTA('Cadastro Frota'!A2:A5)</f>
        <v>4</v>
      </c>
    </row>
    <row r="3" spans="1:4" ht="21" customHeight="1">
      <c r="A3" t="s">
        <v>3</v>
      </c>
      <c r="B3">
        <f>SUM('Viagens e KM'!K2:K101)</f>
        <v>0</v>
      </c>
    </row>
    <row r="4" spans="1:4" ht="21" customHeight="1">
      <c r="A4" t="s">
        <v>4</v>
      </c>
      <c r="B4" s="3">
        <f>SUM(Abastecimentos!F2:F101)</f>
        <v>0</v>
      </c>
    </row>
    <row r="5" spans="1:4" ht="21" customHeight="1">
      <c r="A5" t="s">
        <v>5</v>
      </c>
      <c r="B5">
        <f>SUM(Abastecimentos!E2:E101)</f>
        <v>0</v>
      </c>
    </row>
    <row r="6" spans="1:4" ht="21" customHeight="1">
      <c r="A6" t="s">
        <v>6</v>
      </c>
      <c r="B6" s="3">
        <f>SUM(Manutenções!G2:G101)</f>
        <v>0</v>
      </c>
    </row>
    <row r="7" spans="1:4" ht="21" customHeight="1">
      <c r="A7" t="s">
        <v>7</v>
      </c>
      <c r="B7" s="3">
        <f>B4+B6</f>
        <v>0</v>
      </c>
    </row>
    <row r="8" spans="1:4" ht="21" customHeight="1">
      <c r="A8" t="s">
        <v>8</v>
      </c>
      <c r="B8">
        <f>COUNTIF(Checklist!L2:L101,"PENDÊNCIA")</f>
        <v>0</v>
      </c>
    </row>
    <row r="9" spans="1:4" ht="21" customHeight="1">
      <c r="A9" t="s">
        <v>9</v>
      </c>
      <c r="B9">
        <f>COUNTIF(Documentos!E2:E101,"VENCIDO")</f>
        <v>0</v>
      </c>
    </row>
    <row r="10" spans="1:4" ht="21" customHeight="1">
      <c r="A10" t="s">
        <v>10</v>
      </c>
      <c r="B10">
        <f>COUNTIF(Documentos!E2:E101,"ATENÇÃO")</f>
        <v>0</v>
      </c>
    </row>
    <row r="11" spans="1:4" ht="21" customHeight="1">
      <c r="A11" t="s">
        <v>11</v>
      </c>
      <c r="B11">
        <f>COUNTIF(Manutenções!J2:J101,"Planejada")</f>
        <v>0</v>
      </c>
    </row>
    <row r="12" spans="1:4" ht="21" customHeight="1"/>
    <row r="13" spans="1:4" ht="21" customHeight="1">
      <c r="A13" s="4" t="s">
        <v>12</v>
      </c>
      <c r="B13" s="4" t="s">
        <v>13</v>
      </c>
      <c r="C13" s="4" t="s">
        <v>14</v>
      </c>
      <c r="D13" s="4" t="s">
        <v>15</v>
      </c>
    </row>
    <row r="14" spans="1:4" ht="21" customHeight="1">
      <c r="A14" t="s">
        <v>16</v>
      </c>
      <c r="B14">
        <f>SUMIF('Viagens e KM'!B2:B101,A14,'Viagens e KM'!K2:K101)</f>
        <v>0</v>
      </c>
      <c r="C14" s="3">
        <f>SUMIF(Abastecimentos!B2:B101,A14,Abastecimentos!F2:F101)</f>
        <v>0</v>
      </c>
      <c r="D14" s="3">
        <f>SUMIF(Manutenções!B2:B101,A14,Manutenções!G2:G101)</f>
        <v>0</v>
      </c>
    </row>
    <row r="15" spans="1:4" ht="21" customHeight="1">
      <c r="A15" t="s">
        <v>17</v>
      </c>
      <c r="B15">
        <f>SUMIF('Viagens e KM'!B2:B101,A15,'Viagens e KM'!K2:K101)</f>
        <v>0</v>
      </c>
      <c r="C15" s="3">
        <f>SUMIF(Abastecimentos!B2:B101,A15,Abastecimentos!F2:F101)</f>
        <v>0</v>
      </c>
      <c r="D15" s="3">
        <f>SUMIF(Manutenções!B2:B101,A15,Manutenções!G2:G101)</f>
        <v>0</v>
      </c>
    </row>
    <row r="16" spans="1:4" ht="21" customHeight="1">
      <c r="A16" t="s">
        <v>18</v>
      </c>
      <c r="B16">
        <f>SUMIF('Viagens e KM'!B2:B101,A16,'Viagens e KM'!K2:K101)</f>
        <v>0</v>
      </c>
      <c r="C16" s="3">
        <f>SUMIF(Abastecimentos!B2:B101,A16,Abastecimentos!F2:F101)</f>
        <v>0</v>
      </c>
      <c r="D16" s="3">
        <f>SUMIF(Manutenções!B2:B101,A16,Manutenções!G2:G101)</f>
        <v>0</v>
      </c>
    </row>
    <row r="17" spans="1:4" ht="21" customHeight="1">
      <c r="A17" t="s">
        <v>19</v>
      </c>
      <c r="B17">
        <f>SUMIF('Viagens e KM'!B2:B101,A17,'Viagens e KM'!K2:K101)</f>
        <v>0</v>
      </c>
      <c r="C17" s="3">
        <f>SUMIF(Abastecimentos!B2:B101,A17,Abastecimentos!F2:F101)</f>
        <v>0</v>
      </c>
      <c r="D17" s="3">
        <f>SUMIF(Manutenções!B2:B101,A17,Manutenções!G2:G101)</f>
        <v>0</v>
      </c>
    </row>
    <row r="18" spans="1:4" ht="21" customHeight="1"/>
    <row r="19" spans="1:4" ht="21" customHeight="1"/>
    <row r="20" spans="1:4" ht="21" customHeight="1"/>
    <row r="21" spans="1:4" ht="21" customHeight="1"/>
    <row r="22" spans="1:4" ht="21" customHeight="1"/>
    <row r="23" spans="1:4" ht="21" customHeight="1"/>
    <row r="24" spans="1:4" ht="21" customHeight="1"/>
    <row r="25" spans="1:4" ht="21" customHeight="1"/>
    <row r="26" spans="1:4" ht="21" customHeight="1"/>
    <row r="27" spans="1:4" ht="21" customHeight="1"/>
    <row r="28" spans="1:4" ht="21" customHeight="1"/>
    <row r="29" spans="1:4" ht="21" customHeight="1"/>
    <row r="30" spans="1:4" ht="21" customHeight="1"/>
    <row r="31" spans="1:4" ht="21" customHeight="1"/>
    <row r="32" spans="1:4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1"/>
  <sheetViews>
    <sheetView workbookViewId="0">
      <pane ySplit="1" topLeftCell="A2" activePane="bottomLeft" state="frozen"/>
      <selection pane="bottomLeft"/>
    </sheetView>
  </sheetViews>
  <sheetFormatPr defaultRowHeight="13.8"/>
  <cols>
    <col min="1" max="7" width="15" customWidth="1"/>
    <col min="8" max="8" width="21" customWidth="1"/>
    <col min="9" max="9" width="23" customWidth="1"/>
    <col min="10" max="10" width="15" customWidth="1"/>
  </cols>
  <sheetData>
    <row r="1" spans="1:10" ht="31.95" customHeigh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</row>
    <row r="2" spans="1:10" ht="21" customHeight="1">
      <c r="A2" t="s">
        <v>16</v>
      </c>
      <c r="B2" t="s">
        <v>30</v>
      </c>
      <c r="I2" s="2"/>
      <c r="J2" t="s">
        <v>31</v>
      </c>
    </row>
    <row r="3" spans="1:10" ht="21" customHeight="1">
      <c r="A3" t="s">
        <v>17</v>
      </c>
      <c r="B3" t="s">
        <v>30</v>
      </c>
      <c r="I3" s="2"/>
      <c r="J3" t="s">
        <v>31</v>
      </c>
    </row>
    <row r="4" spans="1:10" ht="21" customHeight="1">
      <c r="A4" t="s">
        <v>18</v>
      </c>
      <c r="B4" t="s">
        <v>30</v>
      </c>
      <c r="I4" s="2"/>
      <c r="J4" t="s">
        <v>31</v>
      </c>
    </row>
    <row r="5" spans="1:10" ht="21" customHeight="1">
      <c r="A5" t="s">
        <v>19</v>
      </c>
      <c r="B5" t="s">
        <v>32</v>
      </c>
      <c r="I5" s="2"/>
      <c r="J5" t="s">
        <v>31</v>
      </c>
    </row>
    <row r="6" spans="1:10" ht="21" customHeight="1">
      <c r="I6" s="2"/>
    </row>
    <row r="7" spans="1:10" ht="21" customHeight="1">
      <c r="I7" s="2"/>
    </row>
    <row r="8" spans="1:10" ht="21" customHeight="1">
      <c r="I8" s="2"/>
    </row>
    <row r="9" spans="1:10" ht="21" customHeight="1">
      <c r="I9" s="2"/>
    </row>
    <row r="10" spans="1:10" ht="21" customHeight="1">
      <c r="I10" s="2"/>
    </row>
    <row r="11" spans="1:10" ht="21" customHeight="1">
      <c r="I11" s="2"/>
    </row>
    <row r="12" spans="1:10" ht="21" customHeight="1">
      <c r="I12" s="2"/>
    </row>
    <row r="13" spans="1:10" ht="21" customHeight="1">
      <c r="I13" s="2"/>
    </row>
    <row r="14" spans="1:10" ht="21" customHeight="1">
      <c r="I14" s="2"/>
    </row>
    <row r="15" spans="1:10" ht="21" customHeight="1">
      <c r="I15" s="2"/>
    </row>
    <row r="16" spans="1:10" ht="21" customHeight="1">
      <c r="I16" s="2"/>
    </row>
    <row r="17" spans="9:9" ht="21" customHeight="1">
      <c r="I17" s="2"/>
    </row>
    <row r="18" spans="9:9" ht="21" customHeight="1">
      <c r="I18" s="2"/>
    </row>
    <row r="19" spans="9:9" ht="21" customHeight="1">
      <c r="I19" s="2"/>
    </row>
    <row r="20" spans="9:9" ht="21" customHeight="1">
      <c r="I20" s="2"/>
    </row>
    <row r="21" spans="9:9" ht="21" customHeight="1">
      <c r="I21" s="2"/>
    </row>
    <row r="22" spans="9:9" ht="21" customHeight="1">
      <c r="I22" s="2"/>
    </row>
    <row r="23" spans="9:9" ht="21" customHeight="1">
      <c r="I23" s="2"/>
    </row>
    <row r="24" spans="9:9" ht="21" customHeight="1">
      <c r="I24" s="2"/>
    </row>
    <row r="25" spans="9:9" ht="21" customHeight="1">
      <c r="I25" s="2"/>
    </row>
    <row r="26" spans="9:9" ht="21" customHeight="1">
      <c r="I26" s="2"/>
    </row>
    <row r="27" spans="9:9" ht="21" customHeight="1">
      <c r="I27" s="2"/>
    </row>
    <row r="28" spans="9:9" ht="21" customHeight="1">
      <c r="I28" s="2"/>
    </row>
    <row r="29" spans="9:9" ht="21" customHeight="1">
      <c r="I29" s="2"/>
    </row>
    <row r="30" spans="9:9" ht="21" customHeight="1">
      <c r="I30" s="2"/>
    </row>
    <row r="31" spans="9:9" ht="21" customHeight="1">
      <c r="I31" s="2"/>
    </row>
    <row r="32" spans="9:9" ht="21" customHeight="1">
      <c r="I32" s="2"/>
    </row>
    <row r="33" spans="9:9" ht="21" customHeight="1">
      <c r="I33" s="2"/>
    </row>
    <row r="34" spans="9:9" ht="21" customHeight="1">
      <c r="I34" s="2"/>
    </row>
    <row r="35" spans="9:9" ht="21" customHeight="1">
      <c r="I35" s="2"/>
    </row>
    <row r="36" spans="9:9" ht="21" customHeight="1">
      <c r="I36" s="2"/>
    </row>
    <row r="37" spans="9:9" ht="21" customHeight="1">
      <c r="I37" s="2"/>
    </row>
    <row r="38" spans="9:9" ht="21" customHeight="1">
      <c r="I38" s="2"/>
    </row>
    <row r="39" spans="9:9" ht="21" customHeight="1">
      <c r="I39" s="2"/>
    </row>
    <row r="40" spans="9:9" ht="21" customHeight="1">
      <c r="I40" s="2"/>
    </row>
    <row r="41" spans="9:9" ht="21" customHeight="1">
      <c r="I41" s="2"/>
    </row>
    <row r="42" spans="9:9" ht="21" customHeight="1">
      <c r="I42" s="2"/>
    </row>
    <row r="43" spans="9:9" ht="21" customHeight="1">
      <c r="I43" s="2"/>
    </row>
    <row r="44" spans="9:9" ht="21" customHeight="1">
      <c r="I44" s="2"/>
    </row>
    <row r="45" spans="9:9" ht="21" customHeight="1">
      <c r="I45" s="2"/>
    </row>
    <row r="46" spans="9:9" ht="21" customHeight="1">
      <c r="I46" s="2"/>
    </row>
    <row r="47" spans="9:9" ht="21" customHeight="1">
      <c r="I47" s="2"/>
    </row>
    <row r="48" spans="9:9" ht="21" customHeight="1">
      <c r="I48" s="2"/>
    </row>
    <row r="49" spans="9:9" ht="21" customHeight="1">
      <c r="I49" s="2"/>
    </row>
    <row r="50" spans="9:9" ht="21" customHeight="1">
      <c r="I50" s="2"/>
    </row>
    <row r="51" spans="9:9" ht="21" customHeight="1">
      <c r="I51" s="2"/>
    </row>
    <row r="52" spans="9:9" ht="21" customHeight="1">
      <c r="I52" s="2"/>
    </row>
    <row r="53" spans="9:9" ht="21" customHeight="1">
      <c r="I53" s="2"/>
    </row>
    <row r="54" spans="9:9" ht="21" customHeight="1">
      <c r="I54" s="2"/>
    </row>
    <row r="55" spans="9:9" ht="21" customHeight="1">
      <c r="I55" s="2"/>
    </row>
    <row r="56" spans="9:9" ht="21" customHeight="1">
      <c r="I56" s="2"/>
    </row>
    <row r="57" spans="9:9" ht="21" customHeight="1">
      <c r="I57" s="2"/>
    </row>
    <row r="58" spans="9:9" ht="21" customHeight="1">
      <c r="I58" s="2"/>
    </row>
    <row r="59" spans="9:9" ht="21" customHeight="1">
      <c r="I59" s="2"/>
    </row>
    <row r="60" spans="9:9" ht="21" customHeight="1">
      <c r="I60" s="2"/>
    </row>
    <row r="61" spans="9:9" ht="21" customHeight="1">
      <c r="I61" s="2"/>
    </row>
    <row r="62" spans="9:9" ht="21" customHeight="1">
      <c r="I62" s="2"/>
    </row>
    <row r="63" spans="9:9" ht="21" customHeight="1">
      <c r="I63" s="2"/>
    </row>
    <row r="64" spans="9:9" ht="21" customHeight="1">
      <c r="I64" s="2"/>
    </row>
    <row r="65" spans="9:9" ht="21" customHeight="1">
      <c r="I65" s="2"/>
    </row>
    <row r="66" spans="9:9" ht="21" customHeight="1">
      <c r="I66" s="2"/>
    </row>
    <row r="67" spans="9:9" ht="21" customHeight="1">
      <c r="I67" s="2"/>
    </row>
    <row r="68" spans="9:9" ht="21" customHeight="1">
      <c r="I68" s="2"/>
    </row>
    <row r="69" spans="9:9" ht="21" customHeight="1">
      <c r="I69" s="2"/>
    </row>
    <row r="70" spans="9:9" ht="21" customHeight="1">
      <c r="I70" s="2"/>
    </row>
    <row r="71" spans="9:9" ht="21" customHeight="1">
      <c r="I71" s="2"/>
    </row>
    <row r="72" spans="9:9" ht="21" customHeight="1">
      <c r="I72" s="2"/>
    </row>
    <row r="73" spans="9:9" ht="21" customHeight="1">
      <c r="I73" s="2"/>
    </row>
    <row r="74" spans="9:9" ht="21" customHeight="1">
      <c r="I74" s="2"/>
    </row>
    <row r="75" spans="9:9" ht="21" customHeight="1">
      <c r="I75" s="2"/>
    </row>
    <row r="76" spans="9:9" ht="21" customHeight="1">
      <c r="I76" s="2"/>
    </row>
    <row r="77" spans="9:9" ht="21" customHeight="1">
      <c r="I77" s="2"/>
    </row>
    <row r="78" spans="9:9" ht="21" customHeight="1">
      <c r="I78" s="2"/>
    </row>
    <row r="79" spans="9:9" ht="21" customHeight="1">
      <c r="I79" s="2"/>
    </row>
    <row r="80" spans="9:9" ht="21" customHeight="1">
      <c r="I80" s="2"/>
    </row>
    <row r="81" spans="9:9" ht="21" customHeight="1">
      <c r="I81" s="2"/>
    </row>
    <row r="82" spans="9:9">
      <c r="I82" s="2"/>
    </row>
    <row r="83" spans="9:9">
      <c r="I83" s="2"/>
    </row>
    <row r="84" spans="9:9">
      <c r="I84" s="2"/>
    </row>
    <row r="85" spans="9:9">
      <c r="I85" s="2"/>
    </row>
    <row r="86" spans="9:9">
      <c r="I86" s="2"/>
    </row>
    <row r="87" spans="9:9">
      <c r="I87" s="2"/>
    </row>
    <row r="88" spans="9:9">
      <c r="I88" s="2"/>
    </row>
    <row r="89" spans="9:9">
      <c r="I89" s="2"/>
    </row>
    <row r="90" spans="9:9">
      <c r="I90" s="2"/>
    </row>
    <row r="91" spans="9:9">
      <c r="I91" s="2"/>
    </row>
    <row r="92" spans="9:9">
      <c r="I92" s="2"/>
    </row>
    <row r="93" spans="9:9">
      <c r="I93" s="2"/>
    </row>
    <row r="94" spans="9:9">
      <c r="I94" s="2"/>
    </row>
    <row r="95" spans="9:9">
      <c r="I95" s="2"/>
    </row>
    <row r="96" spans="9:9">
      <c r="I96" s="2"/>
    </row>
    <row r="97" spans="9:9">
      <c r="I97" s="2"/>
    </row>
    <row r="98" spans="9:9">
      <c r="I98" s="2"/>
    </row>
    <row r="99" spans="9:9">
      <c r="I99" s="2"/>
    </row>
    <row r="100" spans="9:9">
      <c r="I100" s="2"/>
    </row>
    <row r="101" spans="9:9">
      <c r="I10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1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0" width="15" customWidth="1"/>
    <col min="11" max="11" width="16" customWidth="1"/>
    <col min="12" max="12" width="15" customWidth="1"/>
  </cols>
  <sheetData>
    <row r="1" spans="1:12" ht="31.95" customHeight="1">
      <c r="A1" s="1" t="s">
        <v>33</v>
      </c>
      <c r="B1" s="1" t="s">
        <v>12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ht="21" customHeight="1">
      <c r="A2" s="2"/>
      <c r="K2" t="str">
        <f t="shared" ref="K2:K33" si="0">IF(OR(I2="",J2=""),"",IF(J2&gt;=I2,J2-I2,"VERIFICAR KM"))</f>
        <v/>
      </c>
    </row>
    <row r="3" spans="1:12" ht="21" customHeight="1">
      <c r="A3" s="2"/>
      <c r="K3" t="str">
        <f t="shared" si="0"/>
        <v/>
      </c>
    </row>
    <row r="4" spans="1:12" ht="21" customHeight="1">
      <c r="A4" s="2"/>
      <c r="K4" t="str">
        <f t="shared" si="0"/>
        <v/>
      </c>
    </row>
    <row r="5" spans="1:12" ht="21" customHeight="1">
      <c r="A5" s="2"/>
      <c r="K5" t="str">
        <f t="shared" si="0"/>
        <v/>
      </c>
    </row>
    <row r="6" spans="1:12" ht="21" customHeight="1">
      <c r="A6" s="2"/>
      <c r="K6" t="str">
        <f t="shared" si="0"/>
        <v/>
      </c>
    </row>
    <row r="7" spans="1:12" ht="21" customHeight="1">
      <c r="A7" s="2"/>
      <c r="K7" t="str">
        <f t="shared" si="0"/>
        <v/>
      </c>
    </row>
    <row r="8" spans="1:12" ht="21" customHeight="1">
      <c r="A8" s="2"/>
      <c r="K8" t="str">
        <f t="shared" si="0"/>
        <v/>
      </c>
    </row>
    <row r="9" spans="1:12" ht="21" customHeight="1">
      <c r="A9" s="2"/>
      <c r="K9" t="str">
        <f t="shared" si="0"/>
        <v/>
      </c>
    </row>
    <row r="10" spans="1:12" ht="21" customHeight="1">
      <c r="A10" s="2"/>
      <c r="K10" t="str">
        <f t="shared" si="0"/>
        <v/>
      </c>
    </row>
    <row r="11" spans="1:12" ht="21" customHeight="1">
      <c r="A11" s="2"/>
      <c r="K11" t="str">
        <f t="shared" si="0"/>
        <v/>
      </c>
    </row>
    <row r="12" spans="1:12" ht="21" customHeight="1">
      <c r="A12" s="2"/>
      <c r="K12" t="str">
        <f t="shared" si="0"/>
        <v/>
      </c>
    </row>
    <row r="13" spans="1:12" ht="21" customHeight="1">
      <c r="A13" s="2"/>
      <c r="K13" t="str">
        <f t="shared" si="0"/>
        <v/>
      </c>
    </row>
    <row r="14" spans="1:12" ht="21" customHeight="1">
      <c r="A14" s="2"/>
      <c r="K14" t="str">
        <f t="shared" si="0"/>
        <v/>
      </c>
    </row>
    <row r="15" spans="1:12" ht="21" customHeight="1">
      <c r="A15" s="2"/>
      <c r="K15" t="str">
        <f t="shared" si="0"/>
        <v/>
      </c>
    </row>
    <row r="16" spans="1:12" ht="21" customHeight="1">
      <c r="A16" s="2"/>
      <c r="K16" t="str">
        <f t="shared" si="0"/>
        <v/>
      </c>
    </row>
    <row r="17" spans="1:11" ht="21" customHeight="1">
      <c r="A17" s="2"/>
      <c r="K17" t="str">
        <f t="shared" si="0"/>
        <v/>
      </c>
    </row>
    <row r="18" spans="1:11" ht="21" customHeight="1">
      <c r="A18" s="2"/>
      <c r="K18" t="str">
        <f t="shared" si="0"/>
        <v/>
      </c>
    </row>
    <row r="19" spans="1:11" ht="21" customHeight="1">
      <c r="A19" s="2"/>
      <c r="K19" t="str">
        <f t="shared" si="0"/>
        <v/>
      </c>
    </row>
    <row r="20" spans="1:11" ht="21" customHeight="1">
      <c r="A20" s="2"/>
      <c r="K20" t="str">
        <f t="shared" si="0"/>
        <v/>
      </c>
    </row>
    <row r="21" spans="1:11" ht="21" customHeight="1">
      <c r="A21" s="2"/>
      <c r="K21" t="str">
        <f t="shared" si="0"/>
        <v/>
      </c>
    </row>
    <row r="22" spans="1:11" ht="21" customHeight="1">
      <c r="A22" s="2"/>
      <c r="K22" t="str">
        <f t="shared" si="0"/>
        <v/>
      </c>
    </row>
    <row r="23" spans="1:11" ht="21" customHeight="1">
      <c r="A23" s="2"/>
      <c r="K23" t="str">
        <f t="shared" si="0"/>
        <v/>
      </c>
    </row>
    <row r="24" spans="1:11" ht="21" customHeight="1">
      <c r="A24" s="2"/>
      <c r="K24" t="str">
        <f t="shared" si="0"/>
        <v/>
      </c>
    </row>
    <row r="25" spans="1:11" ht="21" customHeight="1">
      <c r="A25" s="2"/>
      <c r="K25" t="str">
        <f t="shared" si="0"/>
        <v/>
      </c>
    </row>
    <row r="26" spans="1:11" ht="21" customHeight="1">
      <c r="A26" s="2"/>
      <c r="K26" t="str">
        <f t="shared" si="0"/>
        <v/>
      </c>
    </row>
    <row r="27" spans="1:11" ht="21" customHeight="1">
      <c r="A27" s="2"/>
      <c r="K27" t="str">
        <f t="shared" si="0"/>
        <v/>
      </c>
    </row>
    <row r="28" spans="1:11" ht="21" customHeight="1">
      <c r="A28" s="2"/>
      <c r="K28" t="str">
        <f t="shared" si="0"/>
        <v/>
      </c>
    </row>
    <row r="29" spans="1:11" ht="21" customHeight="1">
      <c r="A29" s="2"/>
      <c r="K29" t="str">
        <f t="shared" si="0"/>
        <v/>
      </c>
    </row>
    <row r="30" spans="1:11" ht="21" customHeight="1">
      <c r="A30" s="2"/>
      <c r="K30" t="str">
        <f t="shared" si="0"/>
        <v/>
      </c>
    </row>
    <row r="31" spans="1:11" ht="21" customHeight="1">
      <c r="A31" s="2"/>
      <c r="K31" t="str">
        <f t="shared" si="0"/>
        <v/>
      </c>
    </row>
    <row r="32" spans="1:11" ht="21" customHeight="1">
      <c r="A32" s="2"/>
      <c r="K32" t="str">
        <f t="shared" si="0"/>
        <v/>
      </c>
    </row>
    <row r="33" spans="1:11" ht="21" customHeight="1">
      <c r="A33" s="2"/>
      <c r="K33" t="str">
        <f t="shared" si="0"/>
        <v/>
      </c>
    </row>
    <row r="34" spans="1:11" ht="21" customHeight="1">
      <c r="A34" s="2"/>
      <c r="K34" t="str">
        <f t="shared" ref="K34:K65" si="1">IF(OR(I34="",J34=""),"",IF(J34&gt;=I34,J34-I34,"VERIFICAR KM"))</f>
        <v/>
      </c>
    </row>
    <row r="35" spans="1:11" ht="21" customHeight="1">
      <c r="A35" s="2"/>
      <c r="K35" t="str">
        <f t="shared" si="1"/>
        <v/>
      </c>
    </row>
    <row r="36" spans="1:11" ht="21" customHeight="1">
      <c r="A36" s="2"/>
      <c r="K36" t="str">
        <f t="shared" si="1"/>
        <v/>
      </c>
    </row>
    <row r="37" spans="1:11" ht="21" customHeight="1">
      <c r="A37" s="2"/>
      <c r="K37" t="str">
        <f t="shared" si="1"/>
        <v/>
      </c>
    </row>
    <row r="38" spans="1:11" ht="21" customHeight="1">
      <c r="A38" s="2"/>
      <c r="K38" t="str">
        <f t="shared" si="1"/>
        <v/>
      </c>
    </row>
    <row r="39" spans="1:11" ht="21" customHeight="1">
      <c r="A39" s="2"/>
      <c r="K39" t="str">
        <f t="shared" si="1"/>
        <v/>
      </c>
    </row>
    <row r="40" spans="1:11" ht="21" customHeight="1">
      <c r="A40" s="2"/>
      <c r="K40" t="str">
        <f t="shared" si="1"/>
        <v/>
      </c>
    </row>
    <row r="41" spans="1:11" ht="21" customHeight="1">
      <c r="A41" s="2"/>
      <c r="K41" t="str">
        <f t="shared" si="1"/>
        <v/>
      </c>
    </row>
    <row r="42" spans="1:11" ht="21" customHeight="1">
      <c r="A42" s="2"/>
      <c r="K42" t="str">
        <f t="shared" si="1"/>
        <v/>
      </c>
    </row>
    <row r="43" spans="1:11" ht="21" customHeight="1">
      <c r="A43" s="2"/>
      <c r="K43" t="str">
        <f t="shared" si="1"/>
        <v/>
      </c>
    </row>
    <row r="44" spans="1:11" ht="21" customHeight="1">
      <c r="A44" s="2"/>
      <c r="K44" t="str">
        <f t="shared" si="1"/>
        <v/>
      </c>
    </row>
    <row r="45" spans="1:11" ht="21" customHeight="1">
      <c r="A45" s="2"/>
      <c r="K45" t="str">
        <f t="shared" si="1"/>
        <v/>
      </c>
    </row>
    <row r="46" spans="1:11" ht="21" customHeight="1">
      <c r="A46" s="2"/>
      <c r="K46" t="str">
        <f t="shared" si="1"/>
        <v/>
      </c>
    </row>
    <row r="47" spans="1:11" ht="21" customHeight="1">
      <c r="A47" s="2"/>
      <c r="K47" t="str">
        <f t="shared" si="1"/>
        <v/>
      </c>
    </row>
    <row r="48" spans="1:11" ht="21" customHeight="1">
      <c r="A48" s="2"/>
      <c r="K48" t="str">
        <f t="shared" si="1"/>
        <v/>
      </c>
    </row>
    <row r="49" spans="1:11" ht="21" customHeight="1">
      <c r="A49" s="2"/>
      <c r="K49" t="str">
        <f t="shared" si="1"/>
        <v/>
      </c>
    </row>
    <row r="50" spans="1:11" ht="21" customHeight="1">
      <c r="A50" s="2"/>
      <c r="K50" t="str">
        <f t="shared" si="1"/>
        <v/>
      </c>
    </row>
    <row r="51" spans="1:11" ht="21" customHeight="1">
      <c r="A51" s="2"/>
      <c r="K51" t="str">
        <f t="shared" si="1"/>
        <v/>
      </c>
    </row>
    <row r="52" spans="1:11" ht="21" customHeight="1">
      <c r="A52" s="2"/>
      <c r="K52" t="str">
        <f t="shared" si="1"/>
        <v/>
      </c>
    </row>
    <row r="53" spans="1:11" ht="21" customHeight="1">
      <c r="A53" s="2"/>
      <c r="K53" t="str">
        <f t="shared" si="1"/>
        <v/>
      </c>
    </row>
    <row r="54" spans="1:11" ht="21" customHeight="1">
      <c r="A54" s="2"/>
      <c r="K54" t="str">
        <f t="shared" si="1"/>
        <v/>
      </c>
    </row>
    <row r="55" spans="1:11" ht="21" customHeight="1">
      <c r="A55" s="2"/>
      <c r="K55" t="str">
        <f t="shared" si="1"/>
        <v/>
      </c>
    </row>
    <row r="56" spans="1:11" ht="21" customHeight="1">
      <c r="A56" s="2"/>
      <c r="K56" t="str">
        <f t="shared" si="1"/>
        <v/>
      </c>
    </row>
    <row r="57" spans="1:11" ht="21" customHeight="1">
      <c r="A57" s="2"/>
      <c r="K57" t="str">
        <f t="shared" si="1"/>
        <v/>
      </c>
    </row>
    <row r="58" spans="1:11" ht="21" customHeight="1">
      <c r="A58" s="2"/>
      <c r="K58" t="str">
        <f t="shared" si="1"/>
        <v/>
      </c>
    </row>
    <row r="59" spans="1:11" ht="21" customHeight="1">
      <c r="A59" s="2"/>
      <c r="K59" t="str">
        <f t="shared" si="1"/>
        <v/>
      </c>
    </row>
    <row r="60" spans="1:11" ht="21" customHeight="1">
      <c r="A60" s="2"/>
      <c r="K60" t="str">
        <f t="shared" si="1"/>
        <v/>
      </c>
    </row>
    <row r="61" spans="1:11" ht="21" customHeight="1">
      <c r="A61" s="2"/>
      <c r="K61" t="str">
        <f t="shared" si="1"/>
        <v/>
      </c>
    </row>
    <row r="62" spans="1:11" ht="21" customHeight="1">
      <c r="A62" s="2"/>
      <c r="K62" t="str">
        <f t="shared" si="1"/>
        <v/>
      </c>
    </row>
    <row r="63" spans="1:11" ht="21" customHeight="1">
      <c r="A63" s="2"/>
      <c r="K63" t="str">
        <f t="shared" si="1"/>
        <v/>
      </c>
    </row>
    <row r="64" spans="1:11" ht="21" customHeight="1">
      <c r="A64" s="2"/>
      <c r="K64" t="str">
        <f t="shared" si="1"/>
        <v/>
      </c>
    </row>
    <row r="65" spans="1:11" ht="21" customHeight="1">
      <c r="A65" s="2"/>
      <c r="K65" t="str">
        <f t="shared" si="1"/>
        <v/>
      </c>
    </row>
    <row r="66" spans="1:11" ht="21" customHeight="1">
      <c r="A66" s="2"/>
      <c r="K66" t="str">
        <f t="shared" ref="K66:K97" si="2">IF(OR(I66="",J66=""),"",IF(J66&gt;=I66,J66-I66,"VERIFICAR KM"))</f>
        <v/>
      </c>
    </row>
    <row r="67" spans="1:11" ht="21" customHeight="1">
      <c r="A67" s="2"/>
      <c r="K67" t="str">
        <f t="shared" si="2"/>
        <v/>
      </c>
    </row>
    <row r="68" spans="1:11" ht="21" customHeight="1">
      <c r="A68" s="2"/>
      <c r="K68" t="str">
        <f t="shared" si="2"/>
        <v/>
      </c>
    </row>
    <row r="69" spans="1:11" ht="21" customHeight="1">
      <c r="A69" s="2"/>
      <c r="K69" t="str">
        <f t="shared" si="2"/>
        <v/>
      </c>
    </row>
    <row r="70" spans="1:11" ht="21" customHeight="1">
      <c r="A70" s="2"/>
      <c r="K70" t="str">
        <f t="shared" si="2"/>
        <v/>
      </c>
    </row>
    <row r="71" spans="1:11" ht="21" customHeight="1">
      <c r="A71" s="2"/>
      <c r="K71" t="str">
        <f t="shared" si="2"/>
        <v/>
      </c>
    </row>
    <row r="72" spans="1:11" ht="21" customHeight="1">
      <c r="A72" s="2"/>
      <c r="K72" t="str">
        <f t="shared" si="2"/>
        <v/>
      </c>
    </row>
    <row r="73" spans="1:11" ht="21" customHeight="1">
      <c r="A73" s="2"/>
      <c r="K73" t="str">
        <f t="shared" si="2"/>
        <v/>
      </c>
    </row>
    <row r="74" spans="1:11" ht="21" customHeight="1">
      <c r="A74" s="2"/>
      <c r="K74" t="str">
        <f t="shared" si="2"/>
        <v/>
      </c>
    </row>
    <row r="75" spans="1:11" ht="21" customHeight="1">
      <c r="A75" s="2"/>
      <c r="K75" t="str">
        <f t="shared" si="2"/>
        <v/>
      </c>
    </row>
    <row r="76" spans="1:11" ht="21" customHeight="1">
      <c r="A76" s="2"/>
      <c r="K76" t="str">
        <f t="shared" si="2"/>
        <v/>
      </c>
    </row>
    <row r="77" spans="1:11" ht="21" customHeight="1">
      <c r="A77" s="2"/>
      <c r="K77" t="str">
        <f t="shared" si="2"/>
        <v/>
      </c>
    </row>
    <row r="78" spans="1:11" ht="21" customHeight="1">
      <c r="A78" s="2"/>
      <c r="K78" t="str">
        <f t="shared" si="2"/>
        <v/>
      </c>
    </row>
    <row r="79" spans="1:11" ht="21" customHeight="1">
      <c r="A79" s="2"/>
      <c r="K79" t="str">
        <f t="shared" si="2"/>
        <v/>
      </c>
    </row>
    <row r="80" spans="1:11" ht="21" customHeight="1">
      <c r="A80" s="2"/>
      <c r="K80" t="str">
        <f t="shared" si="2"/>
        <v/>
      </c>
    </row>
    <row r="81" spans="1:11" ht="21" customHeight="1">
      <c r="A81" s="2"/>
      <c r="K81" t="str">
        <f t="shared" si="2"/>
        <v/>
      </c>
    </row>
    <row r="82" spans="1:11">
      <c r="A82" s="2"/>
      <c r="K82" t="str">
        <f t="shared" si="2"/>
        <v/>
      </c>
    </row>
    <row r="83" spans="1:11">
      <c r="A83" s="2"/>
      <c r="K83" t="str">
        <f t="shared" si="2"/>
        <v/>
      </c>
    </row>
    <row r="84" spans="1:11">
      <c r="A84" s="2"/>
      <c r="K84" t="str">
        <f t="shared" si="2"/>
        <v/>
      </c>
    </row>
    <row r="85" spans="1:11">
      <c r="A85" s="2"/>
      <c r="K85" t="str">
        <f t="shared" si="2"/>
        <v/>
      </c>
    </row>
    <row r="86" spans="1:11">
      <c r="A86" s="2"/>
      <c r="K86" t="str">
        <f t="shared" si="2"/>
        <v/>
      </c>
    </row>
    <row r="87" spans="1:11">
      <c r="A87" s="2"/>
      <c r="K87" t="str">
        <f t="shared" si="2"/>
        <v/>
      </c>
    </row>
    <row r="88" spans="1:11">
      <c r="A88" s="2"/>
      <c r="K88" t="str">
        <f t="shared" si="2"/>
        <v/>
      </c>
    </row>
    <row r="89" spans="1:11">
      <c r="A89" s="2"/>
      <c r="K89" t="str">
        <f t="shared" si="2"/>
        <v/>
      </c>
    </row>
    <row r="90" spans="1:11">
      <c r="A90" s="2"/>
      <c r="K90" t="str">
        <f t="shared" si="2"/>
        <v/>
      </c>
    </row>
    <row r="91" spans="1:11">
      <c r="A91" s="2"/>
      <c r="K91" t="str">
        <f t="shared" si="2"/>
        <v/>
      </c>
    </row>
    <row r="92" spans="1:11">
      <c r="A92" s="2"/>
      <c r="K92" t="str">
        <f t="shared" si="2"/>
        <v/>
      </c>
    </row>
    <row r="93" spans="1:11">
      <c r="A93" s="2"/>
      <c r="K93" t="str">
        <f t="shared" si="2"/>
        <v/>
      </c>
    </row>
    <row r="94" spans="1:11">
      <c r="A94" s="2"/>
      <c r="K94" t="str">
        <f t="shared" si="2"/>
        <v/>
      </c>
    </row>
    <row r="95" spans="1:11">
      <c r="A95" s="2"/>
      <c r="K95" t="str">
        <f t="shared" si="2"/>
        <v/>
      </c>
    </row>
    <row r="96" spans="1:11">
      <c r="A96" s="2"/>
      <c r="K96" t="str">
        <f t="shared" si="2"/>
        <v/>
      </c>
    </row>
    <row r="97" spans="1:11">
      <c r="A97" s="2"/>
      <c r="K97" t="str">
        <f t="shared" si="2"/>
        <v/>
      </c>
    </row>
    <row r="98" spans="1:11">
      <c r="A98" s="2"/>
      <c r="K98" t="str">
        <f t="shared" ref="K98:K129" si="3">IF(OR(I98="",J98=""),"",IF(J98&gt;=I98,J98-I98,"VERIFICAR KM"))</f>
        <v/>
      </c>
    </row>
    <row r="99" spans="1:11">
      <c r="A99" s="2"/>
      <c r="K99" t="str">
        <f t="shared" si="3"/>
        <v/>
      </c>
    </row>
    <row r="100" spans="1:11">
      <c r="A100" s="2"/>
      <c r="K100" t="str">
        <f t="shared" si="3"/>
        <v/>
      </c>
    </row>
    <row r="101" spans="1:11">
      <c r="A101" s="2"/>
      <c r="K101" t="str">
        <f t="shared" si="3"/>
        <v/>
      </c>
    </row>
  </sheetData>
  <dataValidations count="1">
    <dataValidation type="list" sqref="B2:B101" xr:uid="{00000000-0002-0000-0200-000000000000}">
      <formula1>"V01,V02,V03,C01"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1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3" width="15" customWidth="1"/>
  </cols>
  <sheetData>
    <row r="1" spans="1:13" ht="31.95" customHeight="1">
      <c r="A1" s="1" t="s">
        <v>33</v>
      </c>
      <c r="B1" s="1" t="s">
        <v>12</v>
      </c>
      <c r="C1" s="1" t="s">
        <v>34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43</v>
      </c>
    </row>
    <row r="2" spans="1:13" ht="21" customHeight="1">
      <c r="A2" s="2"/>
      <c r="L2" t="str">
        <f t="shared" ref="L2:L33" si="0">IF(B2="","",IF(COUNTIF(D2:K2,"Não conforme")&gt;0,"PENDÊNCIA",IF(COUNTA(D2:K2)&lt;8,"INCOMPLETO","OK")))</f>
        <v/>
      </c>
    </row>
    <row r="3" spans="1:13" ht="21" customHeight="1">
      <c r="A3" s="2"/>
      <c r="L3" t="str">
        <f t="shared" si="0"/>
        <v/>
      </c>
    </row>
    <row r="4" spans="1:13" ht="21" customHeight="1">
      <c r="A4" s="2"/>
      <c r="L4" t="str">
        <f t="shared" si="0"/>
        <v/>
      </c>
    </row>
    <row r="5" spans="1:13" ht="21" customHeight="1">
      <c r="A5" s="2"/>
      <c r="L5" t="str">
        <f t="shared" si="0"/>
        <v/>
      </c>
    </row>
    <row r="6" spans="1:13" ht="21" customHeight="1">
      <c r="A6" s="2"/>
      <c r="L6" t="str">
        <f t="shared" si="0"/>
        <v/>
      </c>
    </row>
    <row r="7" spans="1:13" ht="21" customHeight="1">
      <c r="A7" s="2"/>
      <c r="L7" t="str">
        <f t="shared" si="0"/>
        <v/>
      </c>
    </row>
    <row r="8" spans="1:13" ht="21" customHeight="1">
      <c r="A8" s="2"/>
      <c r="L8" t="str">
        <f t="shared" si="0"/>
        <v/>
      </c>
    </row>
    <row r="9" spans="1:13" ht="21" customHeight="1">
      <c r="A9" s="2"/>
      <c r="L9" t="str">
        <f t="shared" si="0"/>
        <v/>
      </c>
    </row>
    <row r="10" spans="1:13" ht="21" customHeight="1">
      <c r="A10" s="2"/>
      <c r="L10" t="str">
        <f t="shared" si="0"/>
        <v/>
      </c>
    </row>
    <row r="11" spans="1:13" ht="21" customHeight="1">
      <c r="A11" s="2"/>
      <c r="L11" t="str">
        <f t="shared" si="0"/>
        <v/>
      </c>
    </row>
    <row r="12" spans="1:13" ht="21" customHeight="1">
      <c r="A12" s="2"/>
      <c r="L12" t="str">
        <f t="shared" si="0"/>
        <v/>
      </c>
    </row>
    <row r="13" spans="1:13" ht="21" customHeight="1">
      <c r="A13" s="2"/>
      <c r="L13" t="str">
        <f t="shared" si="0"/>
        <v/>
      </c>
    </row>
    <row r="14" spans="1:13" ht="21" customHeight="1">
      <c r="A14" s="2"/>
      <c r="L14" t="str">
        <f t="shared" si="0"/>
        <v/>
      </c>
    </row>
    <row r="15" spans="1:13" ht="21" customHeight="1">
      <c r="A15" s="2"/>
      <c r="L15" t="str">
        <f t="shared" si="0"/>
        <v/>
      </c>
    </row>
    <row r="16" spans="1:13" ht="21" customHeight="1">
      <c r="A16" s="2"/>
      <c r="L16" t="str">
        <f t="shared" si="0"/>
        <v/>
      </c>
    </row>
    <row r="17" spans="1:12" ht="21" customHeight="1">
      <c r="A17" s="2"/>
      <c r="L17" t="str">
        <f t="shared" si="0"/>
        <v/>
      </c>
    </row>
    <row r="18" spans="1:12" ht="21" customHeight="1">
      <c r="A18" s="2"/>
      <c r="L18" t="str">
        <f t="shared" si="0"/>
        <v/>
      </c>
    </row>
    <row r="19" spans="1:12" ht="21" customHeight="1">
      <c r="A19" s="2"/>
      <c r="L19" t="str">
        <f t="shared" si="0"/>
        <v/>
      </c>
    </row>
    <row r="20" spans="1:12" ht="21" customHeight="1">
      <c r="A20" s="2"/>
      <c r="L20" t="str">
        <f t="shared" si="0"/>
        <v/>
      </c>
    </row>
    <row r="21" spans="1:12" ht="21" customHeight="1">
      <c r="A21" s="2"/>
      <c r="L21" t="str">
        <f t="shared" si="0"/>
        <v/>
      </c>
    </row>
    <row r="22" spans="1:12" ht="21" customHeight="1">
      <c r="A22" s="2"/>
      <c r="L22" t="str">
        <f t="shared" si="0"/>
        <v/>
      </c>
    </row>
    <row r="23" spans="1:12" ht="21" customHeight="1">
      <c r="A23" s="2"/>
      <c r="L23" t="str">
        <f t="shared" si="0"/>
        <v/>
      </c>
    </row>
    <row r="24" spans="1:12" ht="21" customHeight="1">
      <c r="A24" s="2"/>
      <c r="L24" t="str">
        <f t="shared" si="0"/>
        <v/>
      </c>
    </row>
    <row r="25" spans="1:12" ht="21" customHeight="1">
      <c r="A25" s="2"/>
      <c r="L25" t="str">
        <f t="shared" si="0"/>
        <v/>
      </c>
    </row>
    <row r="26" spans="1:12" ht="21" customHeight="1">
      <c r="A26" s="2"/>
      <c r="L26" t="str">
        <f t="shared" si="0"/>
        <v/>
      </c>
    </row>
    <row r="27" spans="1:12" ht="21" customHeight="1">
      <c r="A27" s="2"/>
      <c r="L27" t="str">
        <f t="shared" si="0"/>
        <v/>
      </c>
    </row>
    <row r="28" spans="1:12" ht="21" customHeight="1">
      <c r="A28" s="2"/>
      <c r="L28" t="str">
        <f t="shared" si="0"/>
        <v/>
      </c>
    </row>
    <row r="29" spans="1:12" ht="21" customHeight="1">
      <c r="A29" s="2"/>
      <c r="L29" t="str">
        <f t="shared" si="0"/>
        <v/>
      </c>
    </row>
    <row r="30" spans="1:12" ht="21" customHeight="1">
      <c r="A30" s="2"/>
      <c r="L30" t="str">
        <f t="shared" si="0"/>
        <v/>
      </c>
    </row>
    <row r="31" spans="1:12" ht="21" customHeight="1">
      <c r="A31" s="2"/>
      <c r="L31" t="str">
        <f t="shared" si="0"/>
        <v/>
      </c>
    </row>
    <row r="32" spans="1:12" ht="21" customHeight="1">
      <c r="A32" s="2"/>
      <c r="L32" t="str">
        <f t="shared" si="0"/>
        <v/>
      </c>
    </row>
    <row r="33" spans="1:12" ht="21" customHeight="1">
      <c r="A33" s="2"/>
      <c r="L33" t="str">
        <f t="shared" si="0"/>
        <v/>
      </c>
    </row>
    <row r="34" spans="1:12" ht="21" customHeight="1">
      <c r="A34" s="2"/>
      <c r="L34" t="str">
        <f t="shared" ref="L34:L65" si="1">IF(B34="","",IF(COUNTIF(D34:K34,"Não conforme")&gt;0,"PENDÊNCIA",IF(COUNTA(D34:K34)&lt;8,"INCOMPLETO","OK")))</f>
        <v/>
      </c>
    </row>
    <row r="35" spans="1:12" ht="21" customHeight="1">
      <c r="A35" s="2"/>
      <c r="L35" t="str">
        <f t="shared" si="1"/>
        <v/>
      </c>
    </row>
    <row r="36" spans="1:12" ht="21" customHeight="1">
      <c r="A36" s="2"/>
      <c r="L36" t="str">
        <f t="shared" si="1"/>
        <v/>
      </c>
    </row>
    <row r="37" spans="1:12" ht="21" customHeight="1">
      <c r="A37" s="2"/>
      <c r="L37" t="str">
        <f t="shared" si="1"/>
        <v/>
      </c>
    </row>
    <row r="38" spans="1:12" ht="21" customHeight="1">
      <c r="A38" s="2"/>
      <c r="L38" t="str">
        <f t="shared" si="1"/>
        <v/>
      </c>
    </row>
    <row r="39" spans="1:12" ht="21" customHeight="1">
      <c r="A39" s="2"/>
      <c r="L39" t="str">
        <f t="shared" si="1"/>
        <v/>
      </c>
    </row>
    <row r="40" spans="1:12" ht="21" customHeight="1">
      <c r="A40" s="2"/>
      <c r="L40" t="str">
        <f t="shared" si="1"/>
        <v/>
      </c>
    </row>
    <row r="41" spans="1:12" ht="21" customHeight="1">
      <c r="A41" s="2"/>
      <c r="L41" t="str">
        <f t="shared" si="1"/>
        <v/>
      </c>
    </row>
    <row r="42" spans="1:12" ht="21" customHeight="1">
      <c r="A42" s="2"/>
      <c r="L42" t="str">
        <f t="shared" si="1"/>
        <v/>
      </c>
    </row>
    <row r="43" spans="1:12" ht="21" customHeight="1">
      <c r="A43" s="2"/>
      <c r="L43" t="str">
        <f t="shared" si="1"/>
        <v/>
      </c>
    </row>
    <row r="44" spans="1:12" ht="21" customHeight="1">
      <c r="A44" s="2"/>
      <c r="L44" t="str">
        <f t="shared" si="1"/>
        <v/>
      </c>
    </row>
    <row r="45" spans="1:12" ht="21" customHeight="1">
      <c r="A45" s="2"/>
      <c r="L45" t="str">
        <f t="shared" si="1"/>
        <v/>
      </c>
    </row>
    <row r="46" spans="1:12" ht="21" customHeight="1">
      <c r="A46" s="2"/>
      <c r="L46" t="str">
        <f t="shared" si="1"/>
        <v/>
      </c>
    </row>
    <row r="47" spans="1:12" ht="21" customHeight="1">
      <c r="A47" s="2"/>
      <c r="L47" t="str">
        <f t="shared" si="1"/>
        <v/>
      </c>
    </row>
    <row r="48" spans="1:12" ht="21" customHeight="1">
      <c r="A48" s="2"/>
      <c r="L48" t="str">
        <f t="shared" si="1"/>
        <v/>
      </c>
    </row>
    <row r="49" spans="1:12" ht="21" customHeight="1">
      <c r="A49" s="2"/>
      <c r="L49" t="str">
        <f t="shared" si="1"/>
        <v/>
      </c>
    </row>
    <row r="50" spans="1:12" ht="21" customHeight="1">
      <c r="A50" s="2"/>
      <c r="L50" t="str">
        <f t="shared" si="1"/>
        <v/>
      </c>
    </row>
    <row r="51" spans="1:12" ht="21" customHeight="1">
      <c r="A51" s="2"/>
      <c r="L51" t="str">
        <f t="shared" si="1"/>
        <v/>
      </c>
    </row>
    <row r="52" spans="1:12" ht="21" customHeight="1">
      <c r="A52" s="2"/>
      <c r="L52" t="str">
        <f t="shared" si="1"/>
        <v/>
      </c>
    </row>
    <row r="53" spans="1:12" ht="21" customHeight="1">
      <c r="A53" s="2"/>
      <c r="L53" t="str">
        <f t="shared" si="1"/>
        <v/>
      </c>
    </row>
    <row r="54" spans="1:12" ht="21" customHeight="1">
      <c r="A54" s="2"/>
      <c r="L54" t="str">
        <f t="shared" si="1"/>
        <v/>
      </c>
    </row>
    <row r="55" spans="1:12" ht="21" customHeight="1">
      <c r="A55" s="2"/>
      <c r="L55" t="str">
        <f t="shared" si="1"/>
        <v/>
      </c>
    </row>
    <row r="56" spans="1:12" ht="21" customHeight="1">
      <c r="A56" s="2"/>
      <c r="L56" t="str">
        <f t="shared" si="1"/>
        <v/>
      </c>
    </row>
    <row r="57" spans="1:12" ht="21" customHeight="1">
      <c r="A57" s="2"/>
      <c r="L57" t="str">
        <f t="shared" si="1"/>
        <v/>
      </c>
    </row>
    <row r="58" spans="1:12" ht="21" customHeight="1">
      <c r="A58" s="2"/>
      <c r="L58" t="str">
        <f t="shared" si="1"/>
        <v/>
      </c>
    </row>
    <row r="59" spans="1:12" ht="21" customHeight="1">
      <c r="A59" s="2"/>
      <c r="L59" t="str">
        <f t="shared" si="1"/>
        <v/>
      </c>
    </row>
    <row r="60" spans="1:12" ht="21" customHeight="1">
      <c r="A60" s="2"/>
      <c r="L60" t="str">
        <f t="shared" si="1"/>
        <v/>
      </c>
    </row>
    <row r="61" spans="1:12" ht="21" customHeight="1">
      <c r="A61" s="2"/>
      <c r="L61" t="str">
        <f t="shared" si="1"/>
        <v/>
      </c>
    </row>
    <row r="62" spans="1:12" ht="21" customHeight="1">
      <c r="A62" s="2"/>
      <c r="L62" t="str">
        <f t="shared" si="1"/>
        <v/>
      </c>
    </row>
    <row r="63" spans="1:12" ht="21" customHeight="1">
      <c r="A63" s="2"/>
      <c r="L63" t="str">
        <f t="shared" si="1"/>
        <v/>
      </c>
    </row>
    <row r="64" spans="1:12" ht="21" customHeight="1">
      <c r="A64" s="2"/>
      <c r="L64" t="str">
        <f t="shared" si="1"/>
        <v/>
      </c>
    </row>
    <row r="65" spans="1:12" ht="21" customHeight="1">
      <c r="A65" s="2"/>
      <c r="L65" t="str">
        <f t="shared" si="1"/>
        <v/>
      </c>
    </row>
    <row r="66" spans="1:12" ht="21" customHeight="1">
      <c r="A66" s="2"/>
      <c r="L66" t="str">
        <f t="shared" ref="L66:L97" si="2">IF(B66="","",IF(COUNTIF(D66:K66,"Não conforme")&gt;0,"PENDÊNCIA",IF(COUNTA(D66:K66)&lt;8,"INCOMPLETO","OK")))</f>
        <v/>
      </c>
    </row>
    <row r="67" spans="1:12" ht="21" customHeight="1">
      <c r="A67" s="2"/>
      <c r="L67" t="str">
        <f t="shared" si="2"/>
        <v/>
      </c>
    </row>
    <row r="68" spans="1:12" ht="21" customHeight="1">
      <c r="A68" s="2"/>
      <c r="L68" t="str">
        <f t="shared" si="2"/>
        <v/>
      </c>
    </row>
    <row r="69" spans="1:12" ht="21" customHeight="1">
      <c r="A69" s="2"/>
      <c r="L69" t="str">
        <f t="shared" si="2"/>
        <v/>
      </c>
    </row>
    <row r="70" spans="1:12" ht="21" customHeight="1">
      <c r="A70" s="2"/>
      <c r="L70" t="str">
        <f t="shared" si="2"/>
        <v/>
      </c>
    </row>
    <row r="71" spans="1:12" ht="21" customHeight="1">
      <c r="A71" s="2"/>
      <c r="L71" t="str">
        <f t="shared" si="2"/>
        <v/>
      </c>
    </row>
    <row r="72" spans="1:12" ht="21" customHeight="1">
      <c r="A72" s="2"/>
      <c r="L72" t="str">
        <f t="shared" si="2"/>
        <v/>
      </c>
    </row>
    <row r="73" spans="1:12" ht="21" customHeight="1">
      <c r="A73" s="2"/>
      <c r="L73" t="str">
        <f t="shared" si="2"/>
        <v/>
      </c>
    </row>
    <row r="74" spans="1:12" ht="21" customHeight="1">
      <c r="A74" s="2"/>
      <c r="L74" t="str">
        <f t="shared" si="2"/>
        <v/>
      </c>
    </row>
    <row r="75" spans="1:12" ht="21" customHeight="1">
      <c r="A75" s="2"/>
      <c r="L75" t="str">
        <f t="shared" si="2"/>
        <v/>
      </c>
    </row>
    <row r="76" spans="1:12" ht="21" customHeight="1">
      <c r="A76" s="2"/>
      <c r="L76" t="str">
        <f t="shared" si="2"/>
        <v/>
      </c>
    </row>
    <row r="77" spans="1:12" ht="21" customHeight="1">
      <c r="A77" s="2"/>
      <c r="L77" t="str">
        <f t="shared" si="2"/>
        <v/>
      </c>
    </row>
    <row r="78" spans="1:12" ht="21" customHeight="1">
      <c r="A78" s="2"/>
      <c r="L78" t="str">
        <f t="shared" si="2"/>
        <v/>
      </c>
    </row>
    <row r="79" spans="1:12" ht="21" customHeight="1">
      <c r="A79" s="2"/>
      <c r="L79" t="str">
        <f t="shared" si="2"/>
        <v/>
      </c>
    </row>
    <row r="80" spans="1:12" ht="21" customHeight="1">
      <c r="A80" s="2"/>
      <c r="L80" t="str">
        <f t="shared" si="2"/>
        <v/>
      </c>
    </row>
    <row r="81" spans="1:12" ht="21" customHeight="1">
      <c r="A81" s="2"/>
      <c r="L81" t="str">
        <f t="shared" si="2"/>
        <v/>
      </c>
    </row>
    <row r="82" spans="1:12">
      <c r="A82" s="2"/>
      <c r="L82" t="str">
        <f t="shared" si="2"/>
        <v/>
      </c>
    </row>
    <row r="83" spans="1:12">
      <c r="A83" s="2"/>
      <c r="L83" t="str">
        <f t="shared" si="2"/>
        <v/>
      </c>
    </row>
    <row r="84" spans="1:12">
      <c r="A84" s="2"/>
      <c r="L84" t="str">
        <f t="shared" si="2"/>
        <v/>
      </c>
    </row>
    <row r="85" spans="1:12">
      <c r="A85" s="2"/>
      <c r="L85" t="str">
        <f t="shared" si="2"/>
        <v/>
      </c>
    </row>
    <row r="86" spans="1:12">
      <c r="A86" s="2"/>
      <c r="L86" t="str">
        <f t="shared" si="2"/>
        <v/>
      </c>
    </row>
    <row r="87" spans="1:12">
      <c r="A87" s="2"/>
      <c r="L87" t="str">
        <f t="shared" si="2"/>
        <v/>
      </c>
    </row>
    <row r="88" spans="1:12">
      <c r="A88" s="2"/>
      <c r="L88" t="str">
        <f t="shared" si="2"/>
        <v/>
      </c>
    </row>
    <row r="89" spans="1:12">
      <c r="A89" s="2"/>
      <c r="L89" t="str">
        <f t="shared" si="2"/>
        <v/>
      </c>
    </row>
    <row r="90" spans="1:12">
      <c r="A90" s="2"/>
      <c r="L90" t="str">
        <f t="shared" si="2"/>
        <v/>
      </c>
    </row>
    <row r="91" spans="1:12">
      <c r="A91" s="2"/>
      <c r="L91" t="str">
        <f t="shared" si="2"/>
        <v/>
      </c>
    </row>
    <row r="92" spans="1:12">
      <c r="A92" s="2"/>
      <c r="L92" t="str">
        <f t="shared" si="2"/>
        <v/>
      </c>
    </row>
    <row r="93" spans="1:12">
      <c r="A93" s="2"/>
      <c r="L93" t="str">
        <f t="shared" si="2"/>
        <v/>
      </c>
    </row>
    <row r="94" spans="1:12">
      <c r="A94" s="2"/>
      <c r="L94" t="str">
        <f t="shared" si="2"/>
        <v/>
      </c>
    </row>
    <row r="95" spans="1:12">
      <c r="A95" s="2"/>
      <c r="L95" t="str">
        <f t="shared" si="2"/>
        <v/>
      </c>
    </row>
    <row r="96" spans="1:12">
      <c r="A96" s="2"/>
      <c r="L96" t="str">
        <f t="shared" si="2"/>
        <v/>
      </c>
    </row>
    <row r="97" spans="1:12">
      <c r="A97" s="2"/>
      <c r="L97" t="str">
        <f t="shared" si="2"/>
        <v/>
      </c>
    </row>
    <row r="98" spans="1:12">
      <c r="A98" s="2"/>
      <c r="L98" t="str">
        <f t="shared" ref="L98:L129" si="3">IF(B98="","",IF(COUNTIF(D98:K98,"Não conforme")&gt;0,"PENDÊNCIA",IF(COUNTA(D98:K98)&lt;8,"INCOMPLETO","OK")))</f>
        <v/>
      </c>
    </row>
    <row r="99" spans="1:12">
      <c r="A99" s="2"/>
      <c r="L99" t="str">
        <f t="shared" si="3"/>
        <v/>
      </c>
    </row>
    <row r="100" spans="1:12">
      <c r="A100" s="2"/>
      <c r="L100" t="str">
        <f t="shared" si="3"/>
        <v/>
      </c>
    </row>
    <row r="101" spans="1:12">
      <c r="A101" s="2"/>
      <c r="L101" t="str">
        <f t="shared" si="3"/>
        <v/>
      </c>
    </row>
  </sheetData>
  <dataValidations count="2">
    <dataValidation type="list" sqref="D2:K101" xr:uid="{00000000-0002-0000-0300-000000000000}">
      <formula1>"Conforme,Não conforme,N/A"</formula1>
    </dataValidation>
    <dataValidation type="list" sqref="B2:B101" xr:uid="{00000000-0002-0000-0300-000008000000}">
      <formula1>"V01,V02,V03,C01"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1"/>
  <sheetViews>
    <sheetView workbookViewId="0">
      <pane ySplit="1" topLeftCell="A2" activePane="bottomLeft" state="frozen"/>
      <selection pane="bottomLeft"/>
    </sheetView>
  </sheetViews>
  <sheetFormatPr defaultRowHeight="13.8"/>
  <cols>
    <col min="1" max="5" width="15" customWidth="1"/>
    <col min="6" max="6" width="17" customWidth="1"/>
    <col min="7" max="7" width="18" customWidth="1"/>
    <col min="8" max="8" width="29" customWidth="1"/>
    <col min="9" max="11" width="15" customWidth="1"/>
  </cols>
  <sheetData>
    <row r="1" spans="1:11" ht="31.95" customHeight="1">
      <c r="A1" s="1" t="s">
        <v>33</v>
      </c>
      <c r="B1" s="1" t="s">
        <v>12</v>
      </c>
      <c r="C1" s="1" t="s">
        <v>34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43</v>
      </c>
    </row>
    <row r="2" spans="1:11" ht="21" customHeight="1">
      <c r="A2" s="2"/>
      <c r="F2" s="3"/>
      <c r="G2" s="3" t="str">
        <f t="shared" ref="G2:G33" si="0">IF(OR(E2="",F2=""),"",IFERROR(F2/E2,""))</f>
        <v/>
      </c>
    </row>
    <row r="3" spans="1:11" ht="21" customHeight="1">
      <c r="A3" s="2"/>
      <c r="F3" s="3"/>
      <c r="G3" s="3" t="str">
        <f t="shared" si="0"/>
        <v/>
      </c>
    </row>
    <row r="4" spans="1:11" ht="21" customHeight="1">
      <c r="A4" s="2"/>
      <c r="F4" s="3"/>
      <c r="G4" s="3" t="str">
        <f t="shared" si="0"/>
        <v/>
      </c>
    </row>
    <row r="5" spans="1:11" ht="21" customHeight="1">
      <c r="A5" s="2"/>
      <c r="F5" s="3"/>
      <c r="G5" s="3" t="str">
        <f t="shared" si="0"/>
        <v/>
      </c>
    </row>
    <row r="6" spans="1:11" ht="21" customHeight="1">
      <c r="A6" s="2"/>
      <c r="F6" s="3"/>
      <c r="G6" s="3" t="str">
        <f t="shared" si="0"/>
        <v/>
      </c>
    </row>
    <row r="7" spans="1:11" ht="21" customHeight="1">
      <c r="A7" s="2"/>
      <c r="F7" s="3"/>
      <c r="G7" s="3" t="str">
        <f t="shared" si="0"/>
        <v/>
      </c>
    </row>
    <row r="8" spans="1:11" ht="21" customHeight="1">
      <c r="A8" s="2"/>
      <c r="F8" s="3"/>
      <c r="G8" s="3" t="str">
        <f t="shared" si="0"/>
        <v/>
      </c>
    </row>
    <row r="9" spans="1:11" ht="21" customHeight="1">
      <c r="A9" s="2"/>
      <c r="F9" s="3"/>
      <c r="G9" s="3" t="str">
        <f t="shared" si="0"/>
        <v/>
      </c>
    </row>
    <row r="10" spans="1:11" ht="21" customHeight="1">
      <c r="A10" s="2"/>
      <c r="F10" s="3"/>
      <c r="G10" s="3" t="str">
        <f t="shared" si="0"/>
        <v/>
      </c>
    </row>
    <row r="11" spans="1:11" ht="21" customHeight="1">
      <c r="A11" s="2"/>
      <c r="F11" s="3"/>
      <c r="G11" s="3" t="str">
        <f t="shared" si="0"/>
        <v/>
      </c>
    </row>
    <row r="12" spans="1:11" ht="21" customHeight="1">
      <c r="A12" s="2"/>
      <c r="F12" s="3"/>
      <c r="G12" s="3" t="str">
        <f t="shared" si="0"/>
        <v/>
      </c>
    </row>
    <row r="13" spans="1:11" ht="21" customHeight="1">
      <c r="A13" s="2"/>
      <c r="F13" s="3"/>
      <c r="G13" s="3" t="str">
        <f t="shared" si="0"/>
        <v/>
      </c>
    </row>
    <row r="14" spans="1:11" ht="21" customHeight="1">
      <c r="A14" s="2"/>
      <c r="F14" s="3"/>
      <c r="G14" s="3" t="str">
        <f t="shared" si="0"/>
        <v/>
      </c>
    </row>
    <row r="15" spans="1:11" ht="21" customHeight="1">
      <c r="A15" s="2"/>
      <c r="F15" s="3"/>
      <c r="G15" s="3" t="str">
        <f t="shared" si="0"/>
        <v/>
      </c>
    </row>
    <row r="16" spans="1:11" ht="21" customHeight="1">
      <c r="A16" s="2"/>
      <c r="F16" s="3"/>
      <c r="G16" s="3" t="str">
        <f t="shared" si="0"/>
        <v/>
      </c>
    </row>
    <row r="17" spans="1:7" ht="21" customHeight="1">
      <c r="A17" s="2"/>
      <c r="F17" s="3"/>
      <c r="G17" s="3" t="str">
        <f t="shared" si="0"/>
        <v/>
      </c>
    </row>
    <row r="18" spans="1:7" ht="21" customHeight="1">
      <c r="A18" s="2"/>
      <c r="F18" s="3"/>
      <c r="G18" s="3" t="str">
        <f t="shared" si="0"/>
        <v/>
      </c>
    </row>
    <row r="19" spans="1:7" ht="21" customHeight="1">
      <c r="A19" s="2"/>
      <c r="F19" s="3"/>
      <c r="G19" s="3" t="str">
        <f t="shared" si="0"/>
        <v/>
      </c>
    </row>
    <row r="20" spans="1:7" ht="21" customHeight="1">
      <c r="A20" s="2"/>
      <c r="F20" s="3"/>
      <c r="G20" s="3" t="str">
        <f t="shared" si="0"/>
        <v/>
      </c>
    </row>
    <row r="21" spans="1:7" ht="21" customHeight="1">
      <c r="A21" s="2"/>
      <c r="F21" s="3"/>
      <c r="G21" s="3" t="str">
        <f t="shared" si="0"/>
        <v/>
      </c>
    </row>
    <row r="22" spans="1:7" ht="21" customHeight="1">
      <c r="A22" s="2"/>
      <c r="F22" s="3"/>
      <c r="G22" s="3" t="str">
        <f t="shared" si="0"/>
        <v/>
      </c>
    </row>
    <row r="23" spans="1:7" ht="21" customHeight="1">
      <c r="A23" s="2"/>
      <c r="F23" s="3"/>
      <c r="G23" s="3" t="str">
        <f t="shared" si="0"/>
        <v/>
      </c>
    </row>
    <row r="24" spans="1:7" ht="21" customHeight="1">
      <c r="A24" s="2"/>
      <c r="F24" s="3"/>
      <c r="G24" s="3" t="str">
        <f t="shared" si="0"/>
        <v/>
      </c>
    </row>
    <row r="25" spans="1:7" ht="21" customHeight="1">
      <c r="A25" s="2"/>
      <c r="F25" s="3"/>
      <c r="G25" s="3" t="str">
        <f t="shared" si="0"/>
        <v/>
      </c>
    </row>
    <row r="26" spans="1:7" ht="21" customHeight="1">
      <c r="A26" s="2"/>
      <c r="F26" s="3"/>
      <c r="G26" s="3" t="str">
        <f t="shared" si="0"/>
        <v/>
      </c>
    </row>
    <row r="27" spans="1:7" ht="21" customHeight="1">
      <c r="A27" s="2"/>
      <c r="F27" s="3"/>
      <c r="G27" s="3" t="str">
        <f t="shared" si="0"/>
        <v/>
      </c>
    </row>
    <row r="28" spans="1:7" ht="21" customHeight="1">
      <c r="A28" s="2"/>
      <c r="F28" s="3"/>
      <c r="G28" s="3" t="str">
        <f t="shared" si="0"/>
        <v/>
      </c>
    </row>
    <row r="29" spans="1:7" ht="21" customHeight="1">
      <c r="A29" s="2"/>
      <c r="F29" s="3"/>
      <c r="G29" s="3" t="str">
        <f t="shared" si="0"/>
        <v/>
      </c>
    </row>
    <row r="30" spans="1:7" ht="21" customHeight="1">
      <c r="A30" s="2"/>
      <c r="F30" s="3"/>
      <c r="G30" s="3" t="str">
        <f t="shared" si="0"/>
        <v/>
      </c>
    </row>
    <row r="31" spans="1:7" ht="21" customHeight="1">
      <c r="A31" s="2"/>
      <c r="F31" s="3"/>
      <c r="G31" s="3" t="str">
        <f t="shared" si="0"/>
        <v/>
      </c>
    </row>
    <row r="32" spans="1:7" ht="21" customHeight="1">
      <c r="A32" s="2"/>
      <c r="F32" s="3"/>
      <c r="G32" s="3" t="str">
        <f t="shared" si="0"/>
        <v/>
      </c>
    </row>
    <row r="33" spans="1:7" ht="21" customHeight="1">
      <c r="A33" s="2"/>
      <c r="F33" s="3"/>
      <c r="G33" s="3" t="str">
        <f t="shared" si="0"/>
        <v/>
      </c>
    </row>
    <row r="34" spans="1:7" ht="21" customHeight="1">
      <c r="A34" s="2"/>
      <c r="F34" s="3"/>
      <c r="G34" s="3" t="str">
        <f t="shared" ref="G34:G65" si="1">IF(OR(E34="",F34=""),"",IFERROR(F34/E34,""))</f>
        <v/>
      </c>
    </row>
    <row r="35" spans="1:7" ht="21" customHeight="1">
      <c r="A35" s="2"/>
      <c r="F35" s="3"/>
      <c r="G35" s="3" t="str">
        <f t="shared" si="1"/>
        <v/>
      </c>
    </row>
    <row r="36" spans="1:7" ht="21" customHeight="1">
      <c r="A36" s="2"/>
      <c r="F36" s="3"/>
      <c r="G36" s="3" t="str">
        <f t="shared" si="1"/>
        <v/>
      </c>
    </row>
    <row r="37" spans="1:7" ht="21" customHeight="1">
      <c r="A37" s="2"/>
      <c r="F37" s="3"/>
      <c r="G37" s="3" t="str">
        <f t="shared" si="1"/>
        <v/>
      </c>
    </row>
    <row r="38" spans="1:7" ht="21" customHeight="1">
      <c r="A38" s="2"/>
      <c r="F38" s="3"/>
      <c r="G38" s="3" t="str">
        <f t="shared" si="1"/>
        <v/>
      </c>
    </row>
    <row r="39" spans="1:7" ht="21" customHeight="1">
      <c r="A39" s="2"/>
      <c r="F39" s="3"/>
      <c r="G39" s="3" t="str">
        <f t="shared" si="1"/>
        <v/>
      </c>
    </row>
    <row r="40" spans="1:7" ht="21" customHeight="1">
      <c r="A40" s="2"/>
      <c r="F40" s="3"/>
      <c r="G40" s="3" t="str">
        <f t="shared" si="1"/>
        <v/>
      </c>
    </row>
    <row r="41" spans="1:7" ht="21" customHeight="1">
      <c r="A41" s="2"/>
      <c r="F41" s="3"/>
      <c r="G41" s="3" t="str">
        <f t="shared" si="1"/>
        <v/>
      </c>
    </row>
    <row r="42" spans="1:7" ht="21" customHeight="1">
      <c r="A42" s="2"/>
      <c r="F42" s="3"/>
      <c r="G42" s="3" t="str">
        <f t="shared" si="1"/>
        <v/>
      </c>
    </row>
    <row r="43" spans="1:7" ht="21" customHeight="1">
      <c r="A43" s="2"/>
      <c r="F43" s="3"/>
      <c r="G43" s="3" t="str">
        <f t="shared" si="1"/>
        <v/>
      </c>
    </row>
    <row r="44" spans="1:7" ht="21" customHeight="1">
      <c r="A44" s="2"/>
      <c r="F44" s="3"/>
      <c r="G44" s="3" t="str">
        <f t="shared" si="1"/>
        <v/>
      </c>
    </row>
    <row r="45" spans="1:7" ht="21" customHeight="1">
      <c r="A45" s="2"/>
      <c r="F45" s="3"/>
      <c r="G45" s="3" t="str">
        <f t="shared" si="1"/>
        <v/>
      </c>
    </row>
    <row r="46" spans="1:7" ht="21" customHeight="1">
      <c r="A46" s="2"/>
      <c r="F46" s="3"/>
      <c r="G46" s="3" t="str">
        <f t="shared" si="1"/>
        <v/>
      </c>
    </row>
    <row r="47" spans="1:7" ht="21" customHeight="1">
      <c r="A47" s="2"/>
      <c r="F47" s="3"/>
      <c r="G47" s="3" t="str">
        <f t="shared" si="1"/>
        <v/>
      </c>
    </row>
    <row r="48" spans="1:7" ht="21" customHeight="1">
      <c r="A48" s="2"/>
      <c r="F48" s="3"/>
      <c r="G48" s="3" t="str">
        <f t="shared" si="1"/>
        <v/>
      </c>
    </row>
    <row r="49" spans="1:7" ht="21" customHeight="1">
      <c r="A49" s="2"/>
      <c r="F49" s="3"/>
      <c r="G49" s="3" t="str">
        <f t="shared" si="1"/>
        <v/>
      </c>
    </row>
    <row r="50" spans="1:7" ht="21" customHeight="1">
      <c r="A50" s="2"/>
      <c r="F50" s="3"/>
      <c r="G50" s="3" t="str">
        <f t="shared" si="1"/>
        <v/>
      </c>
    </row>
    <row r="51" spans="1:7" ht="21" customHeight="1">
      <c r="A51" s="2"/>
      <c r="F51" s="3"/>
      <c r="G51" s="3" t="str">
        <f t="shared" si="1"/>
        <v/>
      </c>
    </row>
    <row r="52" spans="1:7" ht="21" customHeight="1">
      <c r="A52" s="2"/>
      <c r="F52" s="3"/>
      <c r="G52" s="3" t="str">
        <f t="shared" si="1"/>
        <v/>
      </c>
    </row>
    <row r="53" spans="1:7" ht="21" customHeight="1">
      <c r="A53" s="2"/>
      <c r="F53" s="3"/>
      <c r="G53" s="3" t="str">
        <f t="shared" si="1"/>
        <v/>
      </c>
    </row>
    <row r="54" spans="1:7" ht="21" customHeight="1">
      <c r="A54" s="2"/>
      <c r="F54" s="3"/>
      <c r="G54" s="3" t="str">
        <f t="shared" si="1"/>
        <v/>
      </c>
    </row>
    <row r="55" spans="1:7" ht="21" customHeight="1">
      <c r="A55" s="2"/>
      <c r="F55" s="3"/>
      <c r="G55" s="3" t="str">
        <f t="shared" si="1"/>
        <v/>
      </c>
    </row>
    <row r="56" spans="1:7" ht="21" customHeight="1">
      <c r="A56" s="2"/>
      <c r="F56" s="3"/>
      <c r="G56" s="3" t="str">
        <f t="shared" si="1"/>
        <v/>
      </c>
    </row>
    <row r="57" spans="1:7" ht="21" customHeight="1">
      <c r="A57" s="2"/>
      <c r="F57" s="3"/>
      <c r="G57" s="3" t="str">
        <f t="shared" si="1"/>
        <v/>
      </c>
    </row>
    <row r="58" spans="1:7" ht="21" customHeight="1">
      <c r="A58" s="2"/>
      <c r="F58" s="3"/>
      <c r="G58" s="3" t="str">
        <f t="shared" si="1"/>
        <v/>
      </c>
    </row>
    <row r="59" spans="1:7" ht="21" customHeight="1">
      <c r="A59" s="2"/>
      <c r="F59" s="3"/>
      <c r="G59" s="3" t="str">
        <f t="shared" si="1"/>
        <v/>
      </c>
    </row>
    <row r="60" spans="1:7" ht="21" customHeight="1">
      <c r="A60" s="2"/>
      <c r="F60" s="3"/>
      <c r="G60" s="3" t="str">
        <f t="shared" si="1"/>
        <v/>
      </c>
    </row>
    <row r="61" spans="1:7" ht="21" customHeight="1">
      <c r="A61" s="2"/>
      <c r="F61" s="3"/>
      <c r="G61" s="3" t="str">
        <f t="shared" si="1"/>
        <v/>
      </c>
    </row>
    <row r="62" spans="1:7" ht="21" customHeight="1">
      <c r="A62" s="2"/>
      <c r="F62" s="3"/>
      <c r="G62" s="3" t="str">
        <f t="shared" si="1"/>
        <v/>
      </c>
    </row>
    <row r="63" spans="1:7" ht="21" customHeight="1">
      <c r="A63" s="2"/>
      <c r="F63" s="3"/>
      <c r="G63" s="3" t="str">
        <f t="shared" si="1"/>
        <v/>
      </c>
    </row>
    <row r="64" spans="1:7" ht="21" customHeight="1">
      <c r="A64" s="2"/>
      <c r="F64" s="3"/>
      <c r="G64" s="3" t="str">
        <f t="shared" si="1"/>
        <v/>
      </c>
    </row>
    <row r="65" spans="1:7" ht="21" customHeight="1">
      <c r="A65" s="2"/>
      <c r="F65" s="3"/>
      <c r="G65" s="3" t="str">
        <f t="shared" si="1"/>
        <v/>
      </c>
    </row>
    <row r="66" spans="1:7" ht="21" customHeight="1">
      <c r="A66" s="2"/>
      <c r="F66" s="3"/>
      <c r="G66" s="3" t="str">
        <f t="shared" ref="G66:G97" si="2">IF(OR(E66="",F66=""),"",IFERROR(F66/E66,""))</f>
        <v/>
      </c>
    </row>
    <row r="67" spans="1:7" ht="21" customHeight="1">
      <c r="A67" s="2"/>
      <c r="F67" s="3"/>
      <c r="G67" s="3" t="str">
        <f t="shared" si="2"/>
        <v/>
      </c>
    </row>
    <row r="68" spans="1:7" ht="21" customHeight="1">
      <c r="A68" s="2"/>
      <c r="F68" s="3"/>
      <c r="G68" s="3" t="str">
        <f t="shared" si="2"/>
        <v/>
      </c>
    </row>
    <row r="69" spans="1:7" ht="21" customHeight="1">
      <c r="A69" s="2"/>
      <c r="F69" s="3"/>
      <c r="G69" s="3" t="str">
        <f t="shared" si="2"/>
        <v/>
      </c>
    </row>
    <row r="70" spans="1:7" ht="21" customHeight="1">
      <c r="A70" s="2"/>
      <c r="F70" s="3"/>
      <c r="G70" s="3" t="str">
        <f t="shared" si="2"/>
        <v/>
      </c>
    </row>
    <row r="71" spans="1:7" ht="21" customHeight="1">
      <c r="A71" s="2"/>
      <c r="F71" s="3"/>
      <c r="G71" s="3" t="str">
        <f t="shared" si="2"/>
        <v/>
      </c>
    </row>
    <row r="72" spans="1:7" ht="21" customHeight="1">
      <c r="A72" s="2"/>
      <c r="F72" s="3"/>
      <c r="G72" s="3" t="str">
        <f t="shared" si="2"/>
        <v/>
      </c>
    </row>
    <row r="73" spans="1:7" ht="21" customHeight="1">
      <c r="A73" s="2"/>
      <c r="F73" s="3"/>
      <c r="G73" s="3" t="str">
        <f t="shared" si="2"/>
        <v/>
      </c>
    </row>
    <row r="74" spans="1:7" ht="21" customHeight="1">
      <c r="A74" s="2"/>
      <c r="F74" s="3"/>
      <c r="G74" s="3" t="str">
        <f t="shared" si="2"/>
        <v/>
      </c>
    </row>
    <row r="75" spans="1:7" ht="21" customHeight="1">
      <c r="A75" s="2"/>
      <c r="F75" s="3"/>
      <c r="G75" s="3" t="str">
        <f t="shared" si="2"/>
        <v/>
      </c>
    </row>
    <row r="76" spans="1:7" ht="21" customHeight="1">
      <c r="A76" s="2"/>
      <c r="F76" s="3"/>
      <c r="G76" s="3" t="str">
        <f t="shared" si="2"/>
        <v/>
      </c>
    </row>
    <row r="77" spans="1:7" ht="21" customHeight="1">
      <c r="A77" s="2"/>
      <c r="F77" s="3"/>
      <c r="G77" s="3" t="str">
        <f t="shared" si="2"/>
        <v/>
      </c>
    </row>
    <row r="78" spans="1:7" ht="21" customHeight="1">
      <c r="A78" s="2"/>
      <c r="F78" s="3"/>
      <c r="G78" s="3" t="str">
        <f t="shared" si="2"/>
        <v/>
      </c>
    </row>
    <row r="79" spans="1:7" ht="21" customHeight="1">
      <c r="A79" s="2"/>
      <c r="F79" s="3"/>
      <c r="G79" s="3" t="str">
        <f t="shared" si="2"/>
        <v/>
      </c>
    </row>
    <row r="80" spans="1:7" ht="21" customHeight="1">
      <c r="A80" s="2"/>
      <c r="F80" s="3"/>
      <c r="G80" s="3" t="str">
        <f t="shared" si="2"/>
        <v/>
      </c>
    </row>
    <row r="81" spans="1:7" ht="21" customHeight="1">
      <c r="A81" s="2"/>
      <c r="F81" s="3"/>
      <c r="G81" s="3" t="str">
        <f t="shared" si="2"/>
        <v/>
      </c>
    </row>
    <row r="82" spans="1:7">
      <c r="A82" s="2"/>
      <c r="F82" s="3"/>
      <c r="G82" s="3" t="str">
        <f t="shared" si="2"/>
        <v/>
      </c>
    </row>
    <row r="83" spans="1:7">
      <c r="A83" s="2"/>
      <c r="F83" s="3"/>
      <c r="G83" s="3" t="str">
        <f t="shared" si="2"/>
        <v/>
      </c>
    </row>
    <row r="84" spans="1:7">
      <c r="A84" s="2"/>
      <c r="F84" s="3"/>
      <c r="G84" s="3" t="str">
        <f t="shared" si="2"/>
        <v/>
      </c>
    </row>
    <row r="85" spans="1:7">
      <c r="A85" s="2"/>
      <c r="F85" s="3"/>
      <c r="G85" s="3" t="str">
        <f t="shared" si="2"/>
        <v/>
      </c>
    </row>
    <row r="86" spans="1:7">
      <c r="A86" s="2"/>
      <c r="F86" s="3"/>
      <c r="G86" s="3" t="str">
        <f t="shared" si="2"/>
        <v/>
      </c>
    </row>
    <row r="87" spans="1:7">
      <c r="A87" s="2"/>
      <c r="F87" s="3"/>
      <c r="G87" s="3" t="str">
        <f t="shared" si="2"/>
        <v/>
      </c>
    </row>
    <row r="88" spans="1:7">
      <c r="A88" s="2"/>
      <c r="F88" s="3"/>
      <c r="G88" s="3" t="str">
        <f t="shared" si="2"/>
        <v/>
      </c>
    </row>
    <row r="89" spans="1:7">
      <c r="A89" s="2"/>
      <c r="F89" s="3"/>
      <c r="G89" s="3" t="str">
        <f t="shared" si="2"/>
        <v/>
      </c>
    </row>
    <row r="90" spans="1:7">
      <c r="A90" s="2"/>
      <c r="F90" s="3"/>
      <c r="G90" s="3" t="str">
        <f t="shared" si="2"/>
        <v/>
      </c>
    </row>
    <row r="91" spans="1:7">
      <c r="A91" s="2"/>
      <c r="F91" s="3"/>
      <c r="G91" s="3" t="str">
        <f t="shared" si="2"/>
        <v/>
      </c>
    </row>
    <row r="92" spans="1:7">
      <c r="A92" s="2"/>
      <c r="F92" s="3"/>
      <c r="G92" s="3" t="str">
        <f t="shared" si="2"/>
        <v/>
      </c>
    </row>
    <row r="93" spans="1:7">
      <c r="A93" s="2"/>
      <c r="F93" s="3"/>
      <c r="G93" s="3" t="str">
        <f t="shared" si="2"/>
        <v/>
      </c>
    </row>
    <row r="94" spans="1:7">
      <c r="A94" s="2"/>
      <c r="F94" s="3"/>
      <c r="G94" s="3" t="str">
        <f t="shared" si="2"/>
        <v/>
      </c>
    </row>
    <row r="95" spans="1:7">
      <c r="A95" s="2"/>
      <c r="F95" s="3"/>
      <c r="G95" s="3" t="str">
        <f t="shared" si="2"/>
        <v/>
      </c>
    </row>
    <row r="96" spans="1:7">
      <c r="A96" s="2"/>
      <c r="F96" s="3"/>
      <c r="G96" s="3" t="str">
        <f t="shared" si="2"/>
        <v/>
      </c>
    </row>
    <row r="97" spans="1:7">
      <c r="A97" s="2"/>
      <c r="F97" s="3"/>
      <c r="G97" s="3" t="str">
        <f t="shared" si="2"/>
        <v/>
      </c>
    </row>
    <row r="98" spans="1:7">
      <c r="A98" s="2"/>
      <c r="F98" s="3"/>
      <c r="G98" s="3" t="str">
        <f t="shared" ref="G98:G129" si="3">IF(OR(E98="",F98=""),"",IFERROR(F98/E98,""))</f>
        <v/>
      </c>
    </row>
    <row r="99" spans="1:7">
      <c r="A99" s="2"/>
      <c r="F99" s="3"/>
      <c r="G99" s="3" t="str">
        <f t="shared" si="3"/>
        <v/>
      </c>
    </row>
    <row r="100" spans="1:7">
      <c r="A100" s="2"/>
      <c r="F100" s="3"/>
      <c r="G100" s="3" t="str">
        <f t="shared" si="3"/>
        <v/>
      </c>
    </row>
    <row r="101" spans="1:7">
      <c r="A101" s="2"/>
      <c r="F101" s="3"/>
      <c r="G101" s="3" t="str">
        <f t="shared" si="3"/>
        <v/>
      </c>
    </row>
  </sheetData>
  <dataValidations count="1">
    <dataValidation type="list" sqref="B2:B101" xr:uid="{00000000-0002-0000-0400-000000000000}">
      <formula1>"V01,V02,V03,C01"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1"/>
  <sheetViews>
    <sheetView workbookViewId="0">
      <pane ySplit="1" topLeftCell="A2" activePane="bottomLeft" state="frozen"/>
      <selection pane="bottomLeft"/>
    </sheetView>
  </sheetViews>
  <sheetFormatPr defaultRowHeight="13.8"/>
  <cols>
    <col min="1" max="7" width="15" customWidth="1"/>
    <col min="8" max="8" width="21" customWidth="1"/>
    <col min="9" max="9" width="23" customWidth="1"/>
    <col min="10" max="11" width="15" customWidth="1"/>
  </cols>
  <sheetData>
    <row r="1" spans="1:11" ht="31.95" customHeight="1">
      <c r="A1" s="1" t="s">
        <v>33</v>
      </c>
      <c r="B1" s="1" t="s">
        <v>12</v>
      </c>
      <c r="C1" s="1" t="s">
        <v>21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27</v>
      </c>
      <c r="I1" s="1" t="s">
        <v>28</v>
      </c>
      <c r="J1" s="1" t="s">
        <v>64</v>
      </c>
      <c r="K1" s="1" t="s">
        <v>43</v>
      </c>
    </row>
    <row r="2" spans="1:11" ht="21" customHeight="1">
      <c r="A2" s="2"/>
      <c r="G2" s="3"/>
      <c r="I2" s="2"/>
    </row>
    <row r="3" spans="1:11" ht="21" customHeight="1">
      <c r="A3" s="2"/>
      <c r="G3" s="3"/>
      <c r="I3" s="2"/>
    </row>
    <row r="4" spans="1:11" ht="21" customHeight="1">
      <c r="A4" s="2"/>
      <c r="G4" s="3"/>
      <c r="I4" s="2"/>
    </row>
    <row r="5" spans="1:11" ht="21" customHeight="1">
      <c r="A5" s="2"/>
      <c r="G5" s="3"/>
      <c r="I5" s="2"/>
    </row>
    <row r="6" spans="1:11" ht="21" customHeight="1">
      <c r="A6" s="2"/>
      <c r="G6" s="3"/>
      <c r="I6" s="2"/>
    </row>
    <row r="7" spans="1:11" ht="21" customHeight="1">
      <c r="A7" s="2"/>
      <c r="G7" s="3"/>
      <c r="I7" s="2"/>
    </row>
    <row r="8" spans="1:11" ht="21" customHeight="1">
      <c r="A8" s="2"/>
      <c r="G8" s="3"/>
      <c r="I8" s="2"/>
    </row>
    <row r="9" spans="1:11" ht="21" customHeight="1">
      <c r="A9" s="2"/>
      <c r="G9" s="3"/>
      <c r="I9" s="2"/>
    </row>
    <row r="10" spans="1:11" ht="21" customHeight="1">
      <c r="A10" s="2"/>
      <c r="G10" s="3"/>
      <c r="I10" s="2"/>
    </row>
    <row r="11" spans="1:11" ht="21" customHeight="1">
      <c r="A11" s="2"/>
      <c r="G11" s="3"/>
      <c r="I11" s="2"/>
    </row>
    <row r="12" spans="1:11" ht="21" customHeight="1">
      <c r="A12" s="2"/>
      <c r="G12" s="3"/>
      <c r="I12" s="2"/>
    </row>
    <row r="13" spans="1:11" ht="21" customHeight="1">
      <c r="A13" s="2"/>
      <c r="G13" s="3"/>
      <c r="I13" s="2"/>
    </row>
    <row r="14" spans="1:11" ht="21" customHeight="1">
      <c r="A14" s="2"/>
      <c r="G14" s="3"/>
      <c r="I14" s="2"/>
    </row>
    <row r="15" spans="1:11" ht="21" customHeight="1">
      <c r="A15" s="2"/>
      <c r="G15" s="3"/>
      <c r="I15" s="2"/>
    </row>
    <row r="16" spans="1:11" ht="21" customHeight="1">
      <c r="A16" s="2"/>
      <c r="G16" s="3"/>
      <c r="I16" s="2"/>
    </row>
    <row r="17" spans="1:9" ht="21" customHeight="1">
      <c r="A17" s="2"/>
      <c r="G17" s="3"/>
      <c r="I17" s="2"/>
    </row>
    <row r="18" spans="1:9" ht="21" customHeight="1">
      <c r="A18" s="2"/>
      <c r="G18" s="3"/>
      <c r="I18" s="2"/>
    </row>
    <row r="19" spans="1:9" ht="21" customHeight="1">
      <c r="A19" s="2"/>
      <c r="G19" s="3"/>
      <c r="I19" s="2"/>
    </row>
    <row r="20" spans="1:9" ht="21" customHeight="1">
      <c r="A20" s="2"/>
      <c r="G20" s="3"/>
      <c r="I20" s="2"/>
    </row>
    <row r="21" spans="1:9" ht="21" customHeight="1">
      <c r="A21" s="2"/>
      <c r="G21" s="3"/>
      <c r="I21" s="2"/>
    </row>
    <row r="22" spans="1:9" ht="21" customHeight="1">
      <c r="A22" s="2"/>
      <c r="G22" s="3"/>
      <c r="I22" s="2"/>
    </row>
    <row r="23" spans="1:9" ht="21" customHeight="1">
      <c r="A23" s="2"/>
      <c r="G23" s="3"/>
      <c r="I23" s="2"/>
    </row>
    <row r="24" spans="1:9" ht="21" customHeight="1">
      <c r="A24" s="2"/>
      <c r="G24" s="3"/>
      <c r="I24" s="2"/>
    </row>
    <row r="25" spans="1:9" ht="21" customHeight="1">
      <c r="A25" s="2"/>
      <c r="G25" s="3"/>
      <c r="I25" s="2"/>
    </row>
    <row r="26" spans="1:9" ht="21" customHeight="1">
      <c r="A26" s="2"/>
      <c r="G26" s="3"/>
      <c r="I26" s="2"/>
    </row>
    <row r="27" spans="1:9" ht="21" customHeight="1">
      <c r="A27" s="2"/>
      <c r="G27" s="3"/>
      <c r="I27" s="2"/>
    </row>
    <row r="28" spans="1:9" ht="21" customHeight="1">
      <c r="A28" s="2"/>
      <c r="G28" s="3"/>
      <c r="I28" s="2"/>
    </row>
    <row r="29" spans="1:9" ht="21" customHeight="1">
      <c r="A29" s="2"/>
      <c r="G29" s="3"/>
      <c r="I29" s="2"/>
    </row>
    <row r="30" spans="1:9" ht="21" customHeight="1">
      <c r="A30" s="2"/>
      <c r="G30" s="3"/>
      <c r="I30" s="2"/>
    </row>
    <row r="31" spans="1:9" ht="21" customHeight="1">
      <c r="A31" s="2"/>
      <c r="G31" s="3"/>
      <c r="I31" s="2"/>
    </row>
    <row r="32" spans="1:9" ht="21" customHeight="1">
      <c r="A32" s="2"/>
      <c r="G32" s="3"/>
      <c r="I32" s="2"/>
    </row>
    <row r="33" spans="1:9" ht="21" customHeight="1">
      <c r="A33" s="2"/>
      <c r="G33" s="3"/>
      <c r="I33" s="2"/>
    </row>
    <row r="34" spans="1:9" ht="21" customHeight="1">
      <c r="A34" s="2"/>
      <c r="G34" s="3"/>
      <c r="I34" s="2"/>
    </row>
    <row r="35" spans="1:9" ht="21" customHeight="1">
      <c r="A35" s="2"/>
      <c r="G35" s="3"/>
      <c r="I35" s="2"/>
    </row>
    <row r="36" spans="1:9" ht="21" customHeight="1">
      <c r="A36" s="2"/>
      <c r="G36" s="3"/>
      <c r="I36" s="2"/>
    </row>
    <row r="37" spans="1:9" ht="21" customHeight="1">
      <c r="A37" s="2"/>
      <c r="G37" s="3"/>
      <c r="I37" s="2"/>
    </row>
    <row r="38" spans="1:9" ht="21" customHeight="1">
      <c r="A38" s="2"/>
      <c r="G38" s="3"/>
      <c r="I38" s="2"/>
    </row>
    <row r="39" spans="1:9" ht="21" customHeight="1">
      <c r="A39" s="2"/>
      <c r="G39" s="3"/>
      <c r="I39" s="2"/>
    </row>
    <row r="40" spans="1:9" ht="21" customHeight="1">
      <c r="A40" s="2"/>
      <c r="G40" s="3"/>
      <c r="I40" s="2"/>
    </row>
    <row r="41" spans="1:9" ht="21" customHeight="1">
      <c r="A41" s="2"/>
      <c r="G41" s="3"/>
      <c r="I41" s="2"/>
    </row>
    <row r="42" spans="1:9" ht="21" customHeight="1">
      <c r="A42" s="2"/>
      <c r="G42" s="3"/>
      <c r="I42" s="2"/>
    </row>
    <row r="43" spans="1:9" ht="21" customHeight="1">
      <c r="A43" s="2"/>
      <c r="G43" s="3"/>
      <c r="I43" s="2"/>
    </row>
    <row r="44" spans="1:9" ht="21" customHeight="1">
      <c r="A44" s="2"/>
      <c r="G44" s="3"/>
      <c r="I44" s="2"/>
    </row>
    <row r="45" spans="1:9" ht="21" customHeight="1">
      <c r="A45" s="2"/>
      <c r="G45" s="3"/>
      <c r="I45" s="2"/>
    </row>
    <row r="46" spans="1:9" ht="21" customHeight="1">
      <c r="A46" s="2"/>
      <c r="G46" s="3"/>
      <c r="I46" s="2"/>
    </row>
    <row r="47" spans="1:9" ht="21" customHeight="1">
      <c r="A47" s="2"/>
      <c r="G47" s="3"/>
      <c r="I47" s="2"/>
    </row>
    <row r="48" spans="1:9" ht="21" customHeight="1">
      <c r="A48" s="2"/>
      <c r="G48" s="3"/>
      <c r="I48" s="2"/>
    </row>
    <row r="49" spans="1:9" ht="21" customHeight="1">
      <c r="A49" s="2"/>
      <c r="G49" s="3"/>
      <c r="I49" s="2"/>
    </row>
    <row r="50" spans="1:9" ht="21" customHeight="1">
      <c r="A50" s="2"/>
      <c r="G50" s="3"/>
      <c r="I50" s="2"/>
    </row>
    <row r="51" spans="1:9" ht="21" customHeight="1">
      <c r="A51" s="2"/>
      <c r="G51" s="3"/>
      <c r="I51" s="2"/>
    </row>
    <row r="52" spans="1:9" ht="21" customHeight="1">
      <c r="A52" s="2"/>
      <c r="G52" s="3"/>
      <c r="I52" s="2"/>
    </row>
    <row r="53" spans="1:9" ht="21" customHeight="1">
      <c r="A53" s="2"/>
      <c r="G53" s="3"/>
      <c r="I53" s="2"/>
    </row>
    <row r="54" spans="1:9" ht="21" customHeight="1">
      <c r="A54" s="2"/>
      <c r="G54" s="3"/>
      <c r="I54" s="2"/>
    </row>
    <row r="55" spans="1:9" ht="21" customHeight="1">
      <c r="A55" s="2"/>
      <c r="G55" s="3"/>
      <c r="I55" s="2"/>
    </row>
    <row r="56" spans="1:9" ht="21" customHeight="1">
      <c r="A56" s="2"/>
      <c r="G56" s="3"/>
      <c r="I56" s="2"/>
    </row>
    <row r="57" spans="1:9" ht="21" customHeight="1">
      <c r="A57" s="2"/>
      <c r="G57" s="3"/>
      <c r="I57" s="2"/>
    </row>
    <row r="58" spans="1:9" ht="21" customHeight="1">
      <c r="A58" s="2"/>
      <c r="G58" s="3"/>
      <c r="I58" s="2"/>
    </row>
    <row r="59" spans="1:9" ht="21" customHeight="1">
      <c r="A59" s="2"/>
      <c r="G59" s="3"/>
      <c r="I59" s="2"/>
    </row>
    <row r="60" spans="1:9" ht="21" customHeight="1">
      <c r="A60" s="2"/>
      <c r="G60" s="3"/>
      <c r="I60" s="2"/>
    </row>
    <row r="61" spans="1:9" ht="21" customHeight="1">
      <c r="A61" s="2"/>
      <c r="G61" s="3"/>
      <c r="I61" s="2"/>
    </row>
    <row r="62" spans="1:9" ht="21" customHeight="1">
      <c r="A62" s="2"/>
      <c r="G62" s="3"/>
      <c r="I62" s="2"/>
    </row>
    <row r="63" spans="1:9" ht="21" customHeight="1">
      <c r="A63" s="2"/>
      <c r="G63" s="3"/>
      <c r="I63" s="2"/>
    </row>
    <row r="64" spans="1:9" ht="21" customHeight="1">
      <c r="A64" s="2"/>
      <c r="G64" s="3"/>
      <c r="I64" s="2"/>
    </row>
    <row r="65" spans="1:9" ht="21" customHeight="1">
      <c r="A65" s="2"/>
      <c r="G65" s="3"/>
      <c r="I65" s="2"/>
    </row>
    <row r="66" spans="1:9" ht="21" customHeight="1">
      <c r="A66" s="2"/>
      <c r="G66" s="3"/>
      <c r="I66" s="2"/>
    </row>
    <row r="67" spans="1:9" ht="21" customHeight="1">
      <c r="A67" s="2"/>
      <c r="G67" s="3"/>
      <c r="I67" s="2"/>
    </row>
    <row r="68" spans="1:9" ht="21" customHeight="1">
      <c r="A68" s="2"/>
      <c r="G68" s="3"/>
      <c r="I68" s="2"/>
    </row>
    <row r="69" spans="1:9" ht="21" customHeight="1">
      <c r="A69" s="2"/>
      <c r="G69" s="3"/>
      <c r="I69" s="2"/>
    </row>
    <row r="70" spans="1:9" ht="21" customHeight="1">
      <c r="A70" s="2"/>
      <c r="G70" s="3"/>
      <c r="I70" s="2"/>
    </row>
    <row r="71" spans="1:9" ht="21" customHeight="1">
      <c r="A71" s="2"/>
      <c r="G71" s="3"/>
      <c r="I71" s="2"/>
    </row>
    <row r="72" spans="1:9" ht="21" customHeight="1">
      <c r="A72" s="2"/>
      <c r="G72" s="3"/>
      <c r="I72" s="2"/>
    </row>
    <row r="73" spans="1:9" ht="21" customHeight="1">
      <c r="A73" s="2"/>
      <c r="G73" s="3"/>
      <c r="I73" s="2"/>
    </row>
    <row r="74" spans="1:9" ht="21" customHeight="1">
      <c r="A74" s="2"/>
      <c r="G74" s="3"/>
      <c r="I74" s="2"/>
    </row>
    <row r="75" spans="1:9" ht="21" customHeight="1">
      <c r="A75" s="2"/>
      <c r="G75" s="3"/>
      <c r="I75" s="2"/>
    </row>
    <row r="76" spans="1:9" ht="21" customHeight="1">
      <c r="A76" s="2"/>
      <c r="G76" s="3"/>
      <c r="I76" s="2"/>
    </row>
    <row r="77" spans="1:9" ht="21" customHeight="1">
      <c r="A77" s="2"/>
      <c r="G77" s="3"/>
      <c r="I77" s="2"/>
    </row>
    <row r="78" spans="1:9" ht="21" customHeight="1">
      <c r="A78" s="2"/>
      <c r="G78" s="3"/>
      <c r="I78" s="2"/>
    </row>
    <row r="79" spans="1:9" ht="21" customHeight="1">
      <c r="A79" s="2"/>
      <c r="G79" s="3"/>
      <c r="I79" s="2"/>
    </row>
    <row r="80" spans="1:9" ht="21" customHeight="1">
      <c r="A80" s="2"/>
      <c r="G80" s="3"/>
      <c r="I80" s="2"/>
    </row>
    <row r="81" spans="1:9" ht="21" customHeight="1">
      <c r="A81" s="2"/>
      <c r="G81" s="3"/>
      <c r="I81" s="2"/>
    </row>
    <row r="82" spans="1:9">
      <c r="A82" s="2"/>
      <c r="G82" s="3"/>
      <c r="I82" s="2"/>
    </row>
    <row r="83" spans="1:9">
      <c r="A83" s="2"/>
      <c r="G83" s="3"/>
      <c r="I83" s="2"/>
    </row>
    <row r="84" spans="1:9">
      <c r="A84" s="2"/>
      <c r="G84" s="3"/>
      <c r="I84" s="2"/>
    </row>
    <row r="85" spans="1:9">
      <c r="A85" s="2"/>
      <c r="G85" s="3"/>
      <c r="I85" s="2"/>
    </row>
    <row r="86" spans="1:9">
      <c r="A86" s="2"/>
      <c r="G86" s="3"/>
      <c r="I86" s="2"/>
    </row>
    <row r="87" spans="1:9">
      <c r="A87" s="2"/>
      <c r="G87" s="3"/>
      <c r="I87" s="2"/>
    </row>
    <row r="88" spans="1:9">
      <c r="A88" s="2"/>
      <c r="G88" s="3"/>
      <c r="I88" s="2"/>
    </row>
    <row r="89" spans="1:9">
      <c r="A89" s="2"/>
      <c r="G89" s="3"/>
      <c r="I89" s="2"/>
    </row>
    <row r="90" spans="1:9">
      <c r="A90" s="2"/>
      <c r="G90" s="3"/>
      <c r="I90" s="2"/>
    </row>
    <row r="91" spans="1:9">
      <c r="A91" s="2"/>
      <c r="G91" s="3"/>
      <c r="I91" s="2"/>
    </row>
    <row r="92" spans="1:9">
      <c r="A92" s="2"/>
      <c r="G92" s="3"/>
      <c r="I92" s="2"/>
    </row>
    <row r="93" spans="1:9">
      <c r="A93" s="2"/>
      <c r="G93" s="3"/>
      <c r="I93" s="2"/>
    </row>
    <row r="94" spans="1:9">
      <c r="A94" s="2"/>
      <c r="G94" s="3"/>
      <c r="I94" s="2"/>
    </row>
    <row r="95" spans="1:9">
      <c r="A95" s="2"/>
      <c r="G95" s="3"/>
      <c r="I95" s="2"/>
    </row>
    <row r="96" spans="1:9">
      <c r="A96" s="2"/>
      <c r="G96" s="3"/>
      <c r="I96" s="2"/>
    </row>
    <row r="97" spans="1:9">
      <c r="A97" s="2"/>
      <c r="G97" s="3"/>
      <c r="I97" s="2"/>
    </row>
    <row r="98" spans="1:9">
      <c r="A98" s="2"/>
      <c r="G98" s="3"/>
      <c r="I98" s="2"/>
    </row>
    <row r="99" spans="1:9">
      <c r="A99" s="2"/>
      <c r="G99" s="3"/>
      <c r="I99" s="2"/>
    </row>
    <row r="100" spans="1:9">
      <c r="A100" s="2"/>
      <c r="G100" s="3"/>
      <c r="I100" s="2"/>
    </row>
    <row r="101" spans="1:9">
      <c r="A101" s="2"/>
      <c r="G101" s="3"/>
      <c r="I101" s="2"/>
    </row>
  </sheetData>
  <dataValidations count="3">
    <dataValidation type="list" sqref="C2:C101" xr:uid="{00000000-0002-0000-0500-000000000000}">
      <formula1>"Preventiva,Corretiva"</formula1>
    </dataValidation>
    <dataValidation type="list" sqref="J2:J101" xr:uid="{00000000-0002-0000-0500-000001000000}">
      <formula1>"Planejada,Em andamento,Concluída"</formula1>
    </dataValidation>
    <dataValidation type="list" sqref="B2:B101" xr:uid="{00000000-0002-0000-0500-000002000000}">
      <formula1>"V01,V02,V03,C01"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3.8"/>
  <cols>
    <col min="1" max="3" width="15" customWidth="1"/>
    <col min="4" max="4" width="18" customWidth="1"/>
    <col min="5" max="6" width="15" customWidth="1"/>
  </cols>
  <sheetData>
    <row r="1" spans="1:6" ht="31.95" customHeight="1">
      <c r="A1" s="1" t="s">
        <v>12</v>
      </c>
      <c r="B1" s="1" t="s">
        <v>65</v>
      </c>
      <c r="C1" s="1" t="s">
        <v>66</v>
      </c>
      <c r="D1" s="1" t="s">
        <v>67</v>
      </c>
      <c r="E1" s="1" t="s">
        <v>64</v>
      </c>
      <c r="F1" s="1" t="s">
        <v>43</v>
      </c>
    </row>
    <row r="2" spans="1:6" ht="21" customHeight="1">
      <c r="C2" s="2"/>
      <c r="D2" t="str">
        <f t="shared" ref="D2:D33" ca="1" si="0">IF(C2="","",C2-TODAY())</f>
        <v/>
      </c>
      <c r="E2" t="str">
        <f t="shared" ref="E2:E33" si="1">IF(C2="","",IF(D2&lt;0,"VENCIDO",IF(D2&lt;=30,"ATENÇÃO","EM DIA")))</f>
        <v/>
      </c>
    </row>
    <row r="3" spans="1:6" ht="21" customHeight="1">
      <c r="C3" s="2"/>
      <c r="D3" t="str">
        <f t="shared" ca="1" si="0"/>
        <v/>
      </c>
      <c r="E3" t="str">
        <f t="shared" si="1"/>
        <v/>
      </c>
    </row>
    <row r="4" spans="1:6" ht="21" customHeight="1">
      <c r="C4" s="2"/>
      <c r="D4" t="str">
        <f t="shared" ca="1" si="0"/>
        <v/>
      </c>
      <c r="E4" t="str">
        <f t="shared" si="1"/>
        <v/>
      </c>
    </row>
    <row r="5" spans="1:6" ht="21" customHeight="1">
      <c r="C5" s="2"/>
      <c r="D5" t="str">
        <f t="shared" ca="1" si="0"/>
        <v/>
      </c>
      <c r="E5" t="str">
        <f t="shared" si="1"/>
        <v/>
      </c>
    </row>
    <row r="6" spans="1:6" ht="21" customHeight="1">
      <c r="C6" s="2"/>
      <c r="D6" t="str">
        <f t="shared" ca="1" si="0"/>
        <v/>
      </c>
      <c r="E6" t="str">
        <f t="shared" si="1"/>
        <v/>
      </c>
    </row>
    <row r="7" spans="1:6" ht="21" customHeight="1">
      <c r="C7" s="2"/>
      <c r="D7" t="str">
        <f t="shared" ca="1" si="0"/>
        <v/>
      </c>
      <c r="E7" t="str">
        <f t="shared" si="1"/>
        <v/>
      </c>
    </row>
    <row r="8" spans="1:6" ht="21" customHeight="1">
      <c r="C8" s="2"/>
      <c r="D8" t="str">
        <f t="shared" ca="1" si="0"/>
        <v/>
      </c>
      <c r="E8" t="str">
        <f t="shared" si="1"/>
        <v/>
      </c>
    </row>
    <row r="9" spans="1:6" ht="21" customHeight="1">
      <c r="C9" s="2"/>
      <c r="D9" t="str">
        <f t="shared" ca="1" si="0"/>
        <v/>
      </c>
      <c r="E9" t="str">
        <f t="shared" si="1"/>
        <v/>
      </c>
    </row>
    <row r="10" spans="1:6" ht="21" customHeight="1">
      <c r="C10" s="2"/>
      <c r="D10" t="str">
        <f t="shared" ca="1" si="0"/>
        <v/>
      </c>
      <c r="E10" t="str">
        <f t="shared" si="1"/>
        <v/>
      </c>
    </row>
    <row r="11" spans="1:6" ht="21" customHeight="1">
      <c r="C11" s="2"/>
      <c r="D11" t="str">
        <f t="shared" ca="1" si="0"/>
        <v/>
      </c>
      <c r="E11" t="str">
        <f t="shared" si="1"/>
        <v/>
      </c>
    </row>
    <row r="12" spans="1:6" ht="21" customHeight="1">
      <c r="C12" s="2"/>
      <c r="D12" t="str">
        <f t="shared" ca="1" si="0"/>
        <v/>
      </c>
      <c r="E12" t="str">
        <f t="shared" si="1"/>
        <v/>
      </c>
    </row>
    <row r="13" spans="1:6" ht="21" customHeight="1">
      <c r="C13" s="2"/>
      <c r="D13" t="str">
        <f t="shared" ca="1" si="0"/>
        <v/>
      </c>
      <c r="E13" t="str">
        <f t="shared" si="1"/>
        <v/>
      </c>
    </row>
    <row r="14" spans="1:6" ht="21" customHeight="1">
      <c r="C14" s="2"/>
      <c r="D14" t="str">
        <f t="shared" ca="1" si="0"/>
        <v/>
      </c>
      <c r="E14" t="str">
        <f t="shared" si="1"/>
        <v/>
      </c>
    </row>
    <row r="15" spans="1:6" ht="21" customHeight="1">
      <c r="C15" s="2"/>
      <c r="D15" t="str">
        <f t="shared" ca="1" si="0"/>
        <v/>
      </c>
      <c r="E15" t="str">
        <f t="shared" si="1"/>
        <v/>
      </c>
    </row>
    <row r="16" spans="1:6" ht="21" customHeight="1">
      <c r="C16" s="2"/>
      <c r="D16" t="str">
        <f t="shared" ca="1" si="0"/>
        <v/>
      </c>
      <c r="E16" t="str">
        <f t="shared" si="1"/>
        <v/>
      </c>
    </row>
    <row r="17" spans="3:5" ht="21" customHeight="1">
      <c r="C17" s="2"/>
      <c r="D17" t="str">
        <f t="shared" ca="1" si="0"/>
        <v/>
      </c>
      <c r="E17" t="str">
        <f t="shared" si="1"/>
        <v/>
      </c>
    </row>
    <row r="18" spans="3:5" ht="21" customHeight="1">
      <c r="C18" s="2"/>
      <c r="D18" t="str">
        <f t="shared" ca="1" si="0"/>
        <v/>
      </c>
      <c r="E18" t="str">
        <f t="shared" si="1"/>
        <v/>
      </c>
    </row>
    <row r="19" spans="3:5" ht="21" customHeight="1">
      <c r="C19" s="2"/>
      <c r="D19" t="str">
        <f t="shared" ca="1" si="0"/>
        <v/>
      </c>
      <c r="E19" t="str">
        <f t="shared" si="1"/>
        <v/>
      </c>
    </row>
    <row r="20" spans="3:5" ht="21" customHeight="1">
      <c r="C20" s="2"/>
      <c r="D20" t="str">
        <f t="shared" ca="1" si="0"/>
        <v/>
      </c>
      <c r="E20" t="str">
        <f t="shared" si="1"/>
        <v/>
      </c>
    </row>
    <row r="21" spans="3:5" ht="21" customHeight="1">
      <c r="C21" s="2"/>
      <c r="D21" t="str">
        <f t="shared" ca="1" si="0"/>
        <v/>
      </c>
      <c r="E21" t="str">
        <f t="shared" si="1"/>
        <v/>
      </c>
    </row>
    <row r="22" spans="3:5" ht="21" customHeight="1">
      <c r="C22" s="2"/>
      <c r="D22" t="str">
        <f t="shared" ca="1" si="0"/>
        <v/>
      </c>
      <c r="E22" t="str">
        <f t="shared" si="1"/>
        <v/>
      </c>
    </row>
    <row r="23" spans="3:5" ht="21" customHeight="1">
      <c r="C23" s="2"/>
      <c r="D23" t="str">
        <f t="shared" ca="1" si="0"/>
        <v/>
      </c>
      <c r="E23" t="str">
        <f t="shared" si="1"/>
        <v/>
      </c>
    </row>
    <row r="24" spans="3:5" ht="21" customHeight="1">
      <c r="C24" s="2"/>
      <c r="D24" t="str">
        <f t="shared" ca="1" si="0"/>
        <v/>
      </c>
      <c r="E24" t="str">
        <f t="shared" si="1"/>
        <v/>
      </c>
    </row>
    <row r="25" spans="3:5" ht="21" customHeight="1">
      <c r="C25" s="2"/>
      <c r="D25" t="str">
        <f t="shared" ca="1" si="0"/>
        <v/>
      </c>
      <c r="E25" t="str">
        <f t="shared" si="1"/>
        <v/>
      </c>
    </row>
    <row r="26" spans="3:5" ht="21" customHeight="1">
      <c r="C26" s="2"/>
      <c r="D26" t="str">
        <f t="shared" ca="1" si="0"/>
        <v/>
      </c>
      <c r="E26" t="str">
        <f t="shared" si="1"/>
        <v/>
      </c>
    </row>
    <row r="27" spans="3:5" ht="21" customHeight="1">
      <c r="C27" s="2"/>
      <c r="D27" t="str">
        <f t="shared" ca="1" si="0"/>
        <v/>
      </c>
      <c r="E27" t="str">
        <f t="shared" si="1"/>
        <v/>
      </c>
    </row>
    <row r="28" spans="3:5" ht="21" customHeight="1">
      <c r="C28" s="2"/>
      <c r="D28" t="str">
        <f t="shared" ca="1" si="0"/>
        <v/>
      </c>
      <c r="E28" t="str">
        <f t="shared" si="1"/>
        <v/>
      </c>
    </row>
    <row r="29" spans="3:5" ht="21" customHeight="1">
      <c r="C29" s="2"/>
      <c r="D29" t="str">
        <f t="shared" ca="1" si="0"/>
        <v/>
      </c>
      <c r="E29" t="str">
        <f t="shared" si="1"/>
        <v/>
      </c>
    </row>
    <row r="30" spans="3:5" ht="21" customHeight="1">
      <c r="C30" s="2"/>
      <c r="D30" t="str">
        <f t="shared" ca="1" si="0"/>
        <v/>
      </c>
      <c r="E30" t="str">
        <f t="shared" si="1"/>
        <v/>
      </c>
    </row>
    <row r="31" spans="3:5" ht="21" customHeight="1">
      <c r="C31" s="2"/>
      <c r="D31" t="str">
        <f t="shared" ca="1" si="0"/>
        <v/>
      </c>
      <c r="E31" t="str">
        <f t="shared" si="1"/>
        <v/>
      </c>
    </row>
    <row r="32" spans="3:5" ht="21" customHeight="1">
      <c r="C32" s="2"/>
      <c r="D32" t="str">
        <f t="shared" ca="1" si="0"/>
        <v/>
      </c>
      <c r="E32" t="str">
        <f t="shared" si="1"/>
        <v/>
      </c>
    </row>
    <row r="33" spans="3:5" ht="21" customHeight="1">
      <c r="C33" s="2"/>
      <c r="D33" t="str">
        <f t="shared" ca="1" si="0"/>
        <v/>
      </c>
      <c r="E33" t="str">
        <f t="shared" si="1"/>
        <v/>
      </c>
    </row>
    <row r="34" spans="3:5" ht="21" customHeight="1">
      <c r="C34" s="2"/>
      <c r="D34" t="str">
        <f t="shared" ref="D34:D65" ca="1" si="2">IF(C34="","",C34-TODAY())</f>
        <v/>
      </c>
      <c r="E34" t="str">
        <f t="shared" ref="E34:E65" si="3">IF(C34="","",IF(D34&lt;0,"VENCIDO",IF(D34&lt;=30,"ATENÇÃO","EM DIA")))</f>
        <v/>
      </c>
    </row>
    <row r="35" spans="3:5" ht="21" customHeight="1">
      <c r="C35" s="2"/>
      <c r="D35" t="str">
        <f t="shared" ca="1" si="2"/>
        <v/>
      </c>
      <c r="E35" t="str">
        <f t="shared" si="3"/>
        <v/>
      </c>
    </row>
    <row r="36" spans="3:5" ht="21" customHeight="1">
      <c r="C36" s="2"/>
      <c r="D36" t="str">
        <f t="shared" ca="1" si="2"/>
        <v/>
      </c>
      <c r="E36" t="str">
        <f t="shared" si="3"/>
        <v/>
      </c>
    </row>
    <row r="37" spans="3:5" ht="21" customHeight="1">
      <c r="C37" s="2"/>
      <c r="D37" t="str">
        <f t="shared" ca="1" si="2"/>
        <v/>
      </c>
      <c r="E37" t="str">
        <f t="shared" si="3"/>
        <v/>
      </c>
    </row>
    <row r="38" spans="3:5" ht="21" customHeight="1">
      <c r="C38" s="2"/>
      <c r="D38" t="str">
        <f t="shared" ca="1" si="2"/>
        <v/>
      </c>
      <c r="E38" t="str">
        <f t="shared" si="3"/>
        <v/>
      </c>
    </row>
    <row r="39" spans="3:5" ht="21" customHeight="1">
      <c r="C39" s="2"/>
      <c r="D39" t="str">
        <f t="shared" ca="1" si="2"/>
        <v/>
      </c>
      <c r="E39" t="str">
        <f t="shared" si="3"/>
        <v/>
      </c>
    </row>
    <row r="40" spans="3:5" ht="21" customHeight="1">
      <c r="C40" s="2"/>
      <c r="D40" t="str">
        <f t="shared" ca="1" si="2"/>
        <v/>
      </c>
      <c r="E40" t="str">
        <f t="shared" si="3"/>
        <v/>
      </c>
    </row>
    <row r="41" spans="3:5" ht="21" customHeight="1">
      <c r="C41" s="2"/>
      <c r="D41" t="str">
        <f t="shared" ca="1" si="2"/>
        <v/>
      </c>
      <c r="E41" t="str">
        <f t="shared" si="3"/>
        <v/>
      </c>
    </row>
    <row r="42" spans="3:5" ht="21" customHeight="1">
      <c r="C42" s="2"/>
      <c r="D42" t="str">
        <f t="shared" ca="1" si="2"/>
        <v/>
      </c>
      <c r="E42" t="str">
        <f t="shared" si="3"/>
        <v/>
      </c>
    </row>
    <row r="43" spans="3:5" ht="21" customHeight="1">
      <c r="C43" s="2"/>
      <c r="D43" t="str">
        <f t="shared" ca="1" si="2"/>
        <v/>
      </c>
      <c r="E43" t="str">
        <f t="shared" si="3"/>
        <v/>
      </c>
    </row>
    <row r="44" spans="3:5" ht="21" customHeight="1">
      <c r="C44" s="2"/>
      <c r="D44" t="str">
        <f t="shared" ca="1" si="2"/>
        <v/>
      </c>
      <c r="E44" t="str">
        <f t="shared" si="3"/>
        <v/>
      </c>
    </row>
    <row r="45" spans="3:5" ht="21" customHeight="1">
      <c r="C45" s="2"/>
      <c r="D45" t="str">
        <f t="shared" ca="1" si="2"/>
        <v/>
      </c>
      <c r="E45" t="str">
        <f t="shared" si="3"/>
        <v/>
      </c>
    </row>
    <row r="46" spans="3:5" ht="21" customHeight="1">
      <c r="C46" s="2"/>
      <c r="D46" t="str">
        <f t="shared" ca="1" si="2"/>
        <v/>
      </c>
      <c r="E46" t="str">
        <f t="shared" si="3"/>
        <v/>
      </c>
    </row>
    <row r="47" spans="3:5" ht="21" customHeight="1">
      <c r="C47" s="2"/>
      <c r="D47" t="str">
        <f t="shared" ca="1" si="2"/>
        <v/>
      </c>
      <c r="E47" t="str">
        <f t="shared" si="3"/>
        <v/>
      </c>
    </row>
    <row r="48" spans="3:5" ht="21" customHeight="1">
      <c r="C48" s="2"/>
      <c r="D48" t="str">
        <f t="shared" ca="1" si="2"/>
        <v/>
      </c>
      <c r="E48" t="str">
        <f t="shared" si="3"/>
        <v/>
      </c>
    </row>
    <row r="49" spans="3:5" ht="21" customHeight="1">
      <c r="C49" s="2"/>
      <c r="D49" t="str">
        <f t="shared" ca="1" si="2"/>
        <v/>
      </c>
      <c r="E49" t="str">
        <f t="shared" si="3"/>
        <v/>
      </c>
    </row>
    <row r="50" spans="3:5" ht="21" customHeight="1">
      <c r="C50" s="2"/>
      <c r="D50" t="str">
        <f t="shared" ca="1" si="2"/>
        <v/>
      </c>
      <c r="E50" t="str">
        <f t="shared" si="3"/>
        <v/>
      </c>
    </row>
    <row r="51" spans="3:5" ht="21" customHeight="1">
      <c r="C51" s="2"/>
      <c r="D51" t="str">
        <f t="shared" ca="1" si="2"/>
        <v/>
      </c>
      <c r="E51" t="str">
        <f t="shared" si="3"/>
        <v/>
      </c>
    </row>
    <row r="52" spans="3:5" ht="21" customHeight="1">
      <c r="C52" s="2"/>
      <c r="D52" t="str">
        <f t="shared" ca="1" si="2"/>
        <v/>
      </c>
      <c r="E52" t="str">
        <f t="shared" si="3"/>
        <v/>
      </c>
    </row>
    <row r="53" spans="3:5" ht="21" customHeight="1">
      <c r="C53" s="2"/>
      <c r="D53" t="str">
        <f t="shared" ca="1" si="2"/>
        <v/>
      </c>
      <c r="E53" t="str">
        <f t="shared" si="3"/>
        <v/>
      </c>
    </row>
    <row r="54" spans="3:5" ht="21" customHeight="1">
      <c r="C54" s="2"/>
      <c r="D54" t="str">
        <f t="shared" ca="1" si="2"/>
        <v/>
      </c>
      <c r="E54" t="str">
        <f t="shared" si="3"/>
        <v/>
      </c>
    </row>
    <row r="55" spans="3:5" ht="21" customHeight="1">
      <c r="C55" s="2"/>
      <c r="D55" t="str">
        <f t="shared" ca="1" si="2"/>
        <v/>
      </c>
      <c r="E55" t="str">
        <f t="shared" si="3"/>
        <v/>
      </c>
    </row>
    <row r="56" spans="3:5" ht="21" customHeight="1">
      <c r="C56" s="2"/>
      <c r="D56" t="str">
        <f t="shared" ca="1" si="2"/>
        <v/>
      </c>
      <c r="E56" t="str">
        <f t="shared" si="3"/>
        <v/>
      </c>
    </row>
    <row r="57" spans="3:5" ht="21" customHeight="1">
      <c r="C57" s="2"/>
      <c r="D57" t="str">
        <f t="shared" ca="1" si="2"/>
        <v/>
      </c>
      <c r="E57" t="str">
        <f t="shared" si="3"/>
        <v/>
      </c>
    </row>
    <row r="58" spans="3:5" ht="21" customHeight="1">
      <c r="C58" s="2"/>
      <c r="D58" t="str">
        <f t="shared" ca="1" si="2"/>
        <v/>
      </c>
      <c r="E58" t="str">
        <f t="shared" si="3"/>
        <v/>
      </c>
    </row>
    <row r="59" spans="3:5" ht="21" customHeight="1">
      <c r="C59" s="2"/>
      <c r="D59" t="str">
        <f t="shared" ca="1" si="2"/>
        <v/>
      </c>
      <c r="E59" t="str">
        <f t="shared" si="3"/>
        <v/>
      </c>
    </row>
    <row r="60" spans="3:5" ht="21" customHeight="1">
      <c r="C60" s="2"/>
      <c r="D60" t="str">
        <f t="shared" ca="1" si="2"/>
        <v/>
      </c>
      <c r="E60" t="str">
        <f t="shared" si="3"/>
        <v/>
      </c>
    </row>
    <row r="61" spans="3:5" ht="21" customHeight="1">
      <c r="C61" s="2"/>
      <c r="D61" t="str">
        <f t="shared" ca="1" si="2"/>
        <v/>
      </c>
      <c r="E61" t="str">
        <f t="shared" si="3"/>
        <v/>
      </c>
    </row>
    <row r="62" spans="3:5" ht="21" customHeight="1">
      <c r="C62" s="2"/>
      <c r="D62" t="str">
        <f t="shared" ca="1" si="2"/>
        <v/>
      </c>
      <c r="E62" t="str">
        <f t="shared" si="3"/>
        <v/>
      </c>
    </row>
    <row r="63" spans="3:5" ht="21" customHeight="1">
      <c r="C63" s="2"/>
      <c r="D63" t="str">
        <f t="shared" ca="1" si="2"/>
        <v/>
      </c>
      <c r="E63" t="str">
        <f t="shared" si="3"/>
        <v/>
      </c>
    </row>
    <row r="64" spans="3:5" ht="21" customHeight="1">
      <c r="C64" s="2"/>
      <c r="D64" t="str">
        <f t="shared" ca="1" si="2"/>
        <v/>
      </c>
      <c r="E64" t="str">
        <f t="shared" si="3"/>
        <v/>
      </c>
    </row>
    <row r="65" spans="3:5" ht="21" customHeight="1">
      <c r="C65" s="2"/>
      <c r="D65" t="str">
        <f t="shared" ca="1" si="2"/>
        <v/>
      </c>
      <c r="E65" t="str">
        <f t="shared" si="3"/>
        <v/>
      </c>
    </row>
    <row r="66" spans="3:5" ht="21" customHeight="1">
      <c r="C66" s="2"/>
      <c r="D66" t="str">
        <f t="shared" ref="D66:D97" ca="1" si="4">IF(C66="","",C66-TODAY())</f>
        <v/>
      </c>
      <c r="E66" t="str">
        <f t="shared" ref="E66:E97" si="5">IF(C66="","",IF(D66&lt;0,"VENCIDO",IF(D66&lt;=30,"ATENÇÃO","EM DIA")))</f>
        <v/>
      </c>
    </row>
    <row r="67" spans="3:5" ht="21" customHeight="1">
      <c r="C67" s="2"/>
      <c r="D67" t="str">
        <f t="shared" ca="1" si="4"/>
        <v/>
      </c>
      <c r="E67" t="str">
        <f t="shared" si="5"/>
        <v/>
      </c>
    </row>
    <row r="68" spans="3:5" ht="21" customHeight="1">
      <c r="C68" s="2"/>
      <c r="D68" t="str">
        <f t="shared" ca="1" si="4"/>
        <v/>
      </c>
      <c r="E68" t="str">
        <f t="shared" si="5"/>
        <v/>
      </c>
    </row>
    <row r="69" spans="3:5" ht="21" customHeight="1">
      <c r="C69" s="2"/>
      <c r="D69" t="str">
        <f t="shared" ca="1" si="4"/>
        <v/>
      </c>
      <c r="E69" t="str">
        <f t="shared" si="5"/>
        <v/>
      </c>
    </row>
    <row r="70" spans="3:5" ht="21" customHeight="1">
      <c r="C70" s="2"/>
      <c r="D70" t="str">
        <f t="shared" ca="1" si="4"/>
        <v/>
      </c>
      <c r="E70" t="str">
        <f t="shared" si="5"/>
        <v/>
      </c>
    </row>
    <row r="71" spans="3:5" ht="21" customHeight="1">
      <c r="C71" s="2"/>
      <c r="D71" t="str">
        <f t="shared" ca="1" si="4"/>
        <v/>
      </c>
      <c r="E71" t="str">
        <f t="shared" si="5"/>
        <v/>
      </c>
    </row>
    <row r="72" spans="3:5" ht="21" customHeight="1">
      <c r="C72" s="2"/>
      <c r="D72" t="str">
        <f t="shared" ca="1" si="4"/>
        <v/>
      </c>
      <c r="E72" t="str">
        <f t="shared" si="5"/>
        <v/>
      </c>
    </row>
    <row r="73" spans="3:5" ht="21" customHeight="1">
      <c r="C73" s="2"/>
      <c r="D73" t="str">
        <f t="shared" ca="1" si="4"/>
        <v/>
      </c>
      <c r="E73" t="str">
        <f t="shared" si="5"/>
        <v/>
      </c>
    </row>
    <row r="74" spans="3:5" ht="21" customHeight="1">
      <c r="C74" s="2"/>
      <c r="D74" t="str">
        <f t="shared" ca="1" si="4"/>
        <v/>
      </c>
      <c r="E74" t="str">
        <f t="shared" si="5"/>
        <v/>
      </c>
    </row>
    <row r="75" spans="3:5" ht="21" customHeight="1">
      <c r="C75" s="2"/>
      <c r="D75" t="str">
        <f t="shared" ca="1" si="4"/>
        <v/>
      </c>
      <c r="E75" t="str">
        <f t="shared" si="5"/>
        <v/>
      </c>
    </row>
    <row r="76" spans="3:5" ht="21" customHeight="1">
      <c r="C76" s="2"/>
      <c r="D76" t="str">
        <f t="shared" ca="1" si="4"/>
        <v/>
      </c>
      <c r="E76" t="str">
        <f t="shared" si="5"/>
        <v/>
      </c>
    </row>
    <row r="77" spans="3:5" ht="21" customHeight="1">
      <c r="C77" s="2"/>
      <c r="D77" t="str">
        <f t="shared" ca="1" si="4"/>
        <v/>
      </c>
      <c r="E77" t="str">
        <f t="shared" si="5"/>
        <v/>
      </c>
    </row>
    <row r="78" spans="3:5" ht="21" customHeight="1">
      <c r="C78" s="2"/>
      <c r="D78" t="str">
        <f t="shared" ca="1" si="4"/>
        <v/>
      </c>
      <c r="E78" t="str">
        <f t="shared" si="5"/>
        <v/>
      </c>
    </row>
    <row r="79" spans="3:5" ht="21" customHeight="1">
      <c r="C79" s="2"/>
      <c r="D79" t="str">
        <f t="shared" ca="1" si="4"/>
        <v/>
      </c>
      <c r="E79" t="str">
        <f t="shared" si="5"/>
        <v/>
      </c>
    </row>
    <row r="80" spans="3:5" ht="21" customHeight="1">
      <c r="C80" s="2"/>
      <c r="D80" t="str">
        <f t="shared" ca="1" si="4"/>
        <v/>
      </c>
      <c r="E80" t="str">
        <f t="shared" si="5"/>
        <v/>
      </c>
    </row>
    <row r="81" spans="3:5" ht="21" customHeight="1">
      <c r="C81" s="2"/>
      <c r="D81" t="str">
        <f t="shared" ca="1" si="4"/>
        <v/>
      </c>
      <c r="E81" t="str">
        <f t="shared" si="5"/>
        <v/>
      </c>
    </row>
    <row r="82" spans="3:5">
      <c r="C82" s="2"/>
      <c r="D82" t="str">
        <f t="shared" ca="1" si="4"/>
        <v/>
      </c>
      <c r="E82" t="str">
        <f t="shared" si="5"/>
        <v/>
      </c>
    </row>
    <row r="83" spans="3:5">
      <c r="C83" s="2"/>
      <c r="D83" t="str">
        <f t="shared" ca="1" si="4"/>
        <v/>
      </c>
      <c r="E83" t="str">
        <f t="shared" si="5"/>
        <v/>
      </c>
    </row>
    <row r="84" spans="3:5">
      <c r="C84" s="2"/>
      <c r="D84" t="str">
        <f t="shared" ca="1" si="4"/>
        <v/>
      </c>
      <c r="E84" t="str">
        <f t="shared" si="5"/>
        <v/>
      </c>
    </row>
    <row r="85" spans="3:5">
      <c r="C85" s="2"/>
      <c r="D85" t="str">
        <f t="shared" ca="1" si="4"/>
        <v/>
      </c>
      <c r="E85" t="str">
        <f t="shared" si="5"/>
        <v/>
      </c>
    </row>
    <row r="86" spans="3:5">
      <c r="C86" s="2"/>
      <c r="D86" t="str">
        <f t="shared" ca="1" si="4"/>
        <v/>
      </c>
      <c r="E86" t="str">
        <f t="shared" si="5"/>
        <v/>
      </c>
    </row>
    <row r="87" spans="3:5">
      <c r="C87" s="2"/>
      <c r="D87" t="str">
        <f t="shared" ca="1" si="4"/>
        <v/>
      </c>
      <c r="E87" t="str">
        <f t="shared" si="5"/>
        <v/>
      </c>
    </row>
    <row r="88" spans="3:5">
      <c r="C88" s="2"/>
      <c r="D88" t="str">
        <f t="shared" ca="1" si="4"/>
        <v/>
      </c>
      <c r="E88" t="str">
        <f t="shared" si="5"/>
        <v/>
      </c>
    </row>
    <row r="89" spans="3:5">
      <c r="C89" s="2"/>
      <c r="D89" t="str">
        <f t="shared" ca="1" si="4"/>
        <v/>
      </c>
      <c r="E89" t="str">
        <f t="shared" si="5"/>
        <v/>
      </c>
    </row>
    <row r="90" spans="3:5">
      <c r="C90" s="2"/>
      <c r="D90" t="str">
        <f t="shared" ca="1" si="4"/>
        <v/>
      </c>
      <c r="E90" t="str">
        <f t="shared" si="5"/>
        <v/>
      </c>
    </row>
    <row r="91" spans="3:5">
      <c r="C91" s="2"/>
      <c r="D91" t="str">
        <f t="shared" ca="1" si="4"/>
        <v/>
      </c>
      <c r="E91" t="str">
        <f t="shared" si="5"/>
        <v/>
      </c>
    </row>
    <row r="92" spans="3:5">
      <c r="C92" s="2"/>
      <c r="D92" t="str">
        <f t="shared" ca="1" si="4"/>
        <v/>
      </c>
      <c r="E92" t="str">
        <f t="shared" si="5"/>
        <v/>
      </c>
    </row>
    <row r="93" spans="3:5">
      <c r="C93" s="2"/>
      <c r="D93" t="str">
        <f t="shared" ca="1" si="4"/>
        <v/>
      </c>
      <c r="E93" t="str">
        <f t="shared" si="5"/>
        <v/>
      </c>
    </row>
    <row r="94" spans="3:5">
      <c r="C94" s="2"/>
      <c r="D94" t="str">
        <f t="shared" ca="1" si="4"/>
        <v/>
      </c>
      <c r="E94" t="str">
        <f t="shared" si="5"/>
        <v/>
      </c>
    </row>
    <row r="95" spans="3:5">
      <c r="C95" s="2"/>
      <c r="D95" t="str">
        <f t="shared" ca="1" si="4"/>
        <v/>
      </c>
      <c r="E95" t="str">
        <f t="shared" si="5"/>
        <v/>
      </c>
    </row>
    <row r="96" spans="3:5">
      <c r="C96" s="2"/>
      <c r="D96" t="str">
        <f t="shared" ca="1" si="4"/>
        <v/>
      </c>
      <c r="E96" t="str">
        <f t="shared" si="5"/>
        <v/>
      </c>
    </row>
    <row r="97" spans="3:5">
      <c r="C97" s="2"/>
      <c r="D97" t="str">
        <f t="shared" ca="1" si="4"/>
        <v/>
      </c>
      <c r="E97" t="str">
        <f t="shared" si="5"/>
        <v/>
      </c>
    </row>
    <row r="98" spans="3:5">
      <c r="C98" s="2"/>
      <c r="D98" t="str">
        <f t="shared" ref="D98:D129" ca="1" si="6">IF(C98="","",C98-TODAY())</f>
        <v/>
      </c>
      <c r="E98" t="str">
        <f t="shared" ref="E98:E129" si="7">IF(C98="","",IF(D98&lt;0,"VENCIDO",IF(D98&lt;=30,"ATENÇÃO","EM DIA")))</f>
        <v/>
      </c>
    </row>
    <row r="99" spans="3:5">
      <c r="C99" s="2"/>
      <c r="D99" t="str">
        <f t="shared" ca="1" si="6"/>
        <v/>
      </c>
      <c r="E99" t="str">
        <f t="shared" si="7"/>
        <v/>
      </c>
    </row>
    <row r="100" spans="3:5">
      <c r="C100" s="2"/>
      <c r="D100" t="str">
        <f t="shared" ca="1" si="6"/>
        <v/>
      </c>
      <c r="E100" t="str">
        <f t="shared" si="7"/>
        <v/>
      </c>
    </row>
    <row r="101" spans="3:5">
      <c r="C101" s="2"/>
      <c r="D101" t="str">
        <f t="shared" ca="1" si="6"/>
        <v/>
      </c>
      <c r="E101" t="str">
        <f t="shared" si="7"/>
        <v/>
      </c>
    </row>
  </sheetData>
  <dataValidations count="1">
    <dataValidation type="list" sqref="A2:A101" xr:uid="{00000000-0002-0000-0600-000000000000}">
      <formula1>"V01,V02,V03,C01"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1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26" customWidth="1"/>
    <col min="2" max="2" width="95" customWidth="1"/>
  </cols>
  <sheetData>
    <row r="1" spans="1:2" ht="31.95" customHeight="1">
      <c r="A1" s="1" t="s">
        <v>68</v>
      </c>
      <c r="B1" s="1" t="s">
        <v>69</v>
      </c>
    </row>
    <row r="2" spans="1:2" ht="21" customHeight="1">
      <c r="A2" t="s">
        <v>70</v>
      </c>
      <c r="B2" s="5" t="s">
        <v>71</v>
      </c>
    </row>
    <row r="3" spans="1:2" ht="21" customHeight="1">
      <c r="A3" t="s">
        <v>72</v>
      </c>
      <c r="B3" s="5" t="s">
        <v>73</v>
      </c>
    </row>
    <row r="4" spans="1:2" ht="21" customHeight="1">
      <c r="A4" t="s">
        <v>74</v>
      </c>
      <c r="B4" s="5" t="s">
        <v>75</v>
      </c>
    </row>
    <row r="5" spans="1:2" ht="21" customHeight="1">
      <c r="A5" t="s">
        <v>76</v>
      </c>
      <c r="B5" s="5" t="s">
        <v>77</v>
      </c>
    </row>
    <row r="6" spans="1:2" ht="21" customHeight="1">
      <c r="A6" t="s">
        <v>78</v>
      </c>
      <c r="B6" s="5" t="s">
        <v>79</v>
      </c>
    </row>
    <row r="7" spans="1:2" ht="21" customHeight="1">
      <c r="A7" t="s">
        <v>80</v>
      </c>
      <c r="B7" s="5" t="s">
        <v>81</v>
      </c>
    </row>
    <row r="8" spans="1:2" ht="21" customHeight="1">
      <c r="A8" t="s">
        <v>82</v>
      </c>
      <c r="B8" s="5" t="s">
        <v>83</v>
      </c>
    </row>
    <row r="9" spans="1:2" ht="21" customHeight="1">
      <c r="A9" t="s">
        <v>84</v>
      </c>
      <c r="B9" s="5" t="s">
        <v>85</v>
      </c>
    </row>
    <row r="10" spans="1:2" ht="21" customHeight="1">
      <c r="A10" t="s">
        <v>86</v>
      </c>
      <c r="B10" s="5" t="s">
        <v>87</v>
      </c>
    </row>
    <row r="11" spans="1:2" ht="21" customHeight="1">
      <c r="A11" t="s">
        <v>88</v>
      </c>
      <c r="B11" s="5" t="s">
        <v>89</v>
      </c>
    </row>
    <row r="12" spans="1:2" ht="21" customHeight="1"/>
    <row r="13" spans="1:2" ht="21" customHeight="1"/>
    <row r="14" spans="1:2" ht="21" customHeight="1"/>
    <row r="15" spans="1:2" ht="21" customHeight="1"/>
    <row r="16" spans="1:2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Painel</vt:lpstr>
      <vt:lpstr>Cadastro Frota</vt:lpstr>
      <vt:lpstr>Viagens e KM</vt:lpstr>
      <vt:lpstr>Checklist</vt:lpstr>
      <vt:lpstr>Abastecimentos</vt:lpstr>
      <vt:lpstr>Manutenções</vt:lpstr>
      <vt:lpstr>Documentos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Machado</dc:creator>
  <cp:lastModifiedBy>Sheila Machado - GMP</cp:lastModifiedBy>
  <dcterms:created xsi:type="dcterms:W3CDTF">2026-10-22T18:28:19Z</dcterms:created>
  <dcterms:modified xsi:type="dcterms:W3CDTF">2026-10-22T18:28:19Z</dcterms:modified>
</cp:coreProperties>
</file>